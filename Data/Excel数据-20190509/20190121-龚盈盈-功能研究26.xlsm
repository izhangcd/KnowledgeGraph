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10.bin" ContentType="application/vnd.ms-office.activeX"/>
  <Override PartName="/xl/activeX/activeX10.xml" ContentType="application/vnd.ms-office.activeX+xml"/>
  <Override PartName="/xl/activeX/activeX11.bin" ContentType="application/vnd.ms-office.activeX"/>
  <Override PartName="/xl/activeX/activeX11.xml" ContentType="application/vnd.ms-office.activeX+xml"/>
  <Override PartName="/xl/activeX/activeX12.bin" ContentType="application/vnd.ms-office.activeX"/>
  <Override PartName="/xl/activeX/activeX12.xml" ContentType="application/vnd.ms-office.activeX+xml"/>
  <Override PartName="/xl/activeX/activeX13.bin" ContentType="application/vnd.ms-office.activeX"/>
  <Override PartName="/xl/activeX/activeX13.xml" ContentType="application/vnd.ms-office.activeX+xml"/>
  <Override PartName="/xl/activeX/activeX14.bin" ContentType="application/vnd.ms-office.activeX"/>
  <Override PartName="/xl/activeX/activeX14.xml" ContentType="application/vnd.ms-office.activeX+xml"/>
  <Override PartName="/xl/activeX/activeX15.bin" ContentType="application/vnd.ms-office.activeX"/>
  <Override PartName="/xl/activeX/activeX15.xml" ContentType="application/vnd.ms-office.activeX+xml"/>
  <Override PartName="/xl/activeX/activeX16.bin" ContentType="application/vnd.ms-office.activeX"/>
  <Override PartName="/xl/activeX/activeX16.xml" ContentType="application/vnd.ms-office.activeX+xml"/>
  <Override PartName="/xl/activeX/activeX17.bin" ContentType="application/vnd.ms-office.activeX"/>
  <Override PartName="/xl/activeX/activeX17.xml" ContentType="application/vnd.ms-office.activeX+xml"/>
  <Override PartName="/xl/activeX/activeX18.bin" ContentType="application/vnd.ms-office.activeX"/>
  <Override PartName="/xl/activeX/activeX18.xml" ContentType="application/vnd.ms-office.activeX+xml"/>
  <Override PartName="/xl/activeX/activeX19.bin" ContentType="application/vnd.ms-office.activeX"/>
  <Override PartName="/xl/activeX/activeX19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20.bin" ContentType="application/vnd.ms-office.activeX"/>
  <Override PartName="/xl/activeX/activeX20.xml" ContentType="application/vnd.ms-office.activeX+xml"/>
  <Override PartName="/xl/activeX/activeX21.bin" ContentType="application/vnd.ms-office.activeX"/>
  <Override PartName="/xl/activeX/activeX21.xml" ContentType="application/vnd.ms-office.activeX+xml"/>
  <Override PartName="/xl/activeX/activeX22.bin" ContentType="application/vnd.ms-office.activeX"/>
  <Override PartName="/xl/activeX/activeX22.xml" ContentType="application/vnd.ms-office.activeX+xml"/>
  <Override PartName="/xl/activeX/activeX23.bin" ContentType="application/vnd.ms-office.activeX"/>
  <Override PartName="/xl/activeX/activeX23.xml" ContentType="application/vnd.ms-office.activeX+xml"/>
  <Override PartName="/xl/activeX/activeX24.bin" ContentType="application/vnd.ms-office.activeX"/>
  <Override PartName="/xl/activeX/activeX24.xml" ContentType="application/vnd.ms-office.activeX+xml"/>
  <Override PartName="/xl/activeX/activeX25.bin" ContentType="application/vnd.ms-office.activeX"/>
  <Override PartName="/xl/activeX/activeX25.xml" ContentType="application/vnd.ms-office.activeX+xml"/>
  <Override PartName="/xl/activeX/activeX26.bin" ContentType="application/vnd.ms-office.activeX"/>
  <Override PartName="/xl/activeX/activeX26.xml" ContentType="application/vnd.ms-office.activeX+xml"/>
  <Override PartName="/xl/activeX/activeX27.bin" ContentType="application/vnd.ms-office.activeX"/>
  <Override PartName="/xl/activeX/activeX27.xml" ContentType="application/vnd.ms-office.activeX+xml"/>
  <Override PartName="/xl/activeX/activeX28.bin" ContentType="application/vnd.ms-office.activeX"/>
  <Override PartName="/xl/activeX/activeX28.xml" ContentType="application/vnd.ms-office.activeX+xml"/>
  <Override PartName="/xl/activeX/activeX29.bin" ContentType="application/vnd.ms-office.activeX"/>
  <Override PartName="/xl/activeX/activeX29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activeX/activeX30.bin" ContentType="application/vnd.ms-office.activeX"/>
  <Override PartName="/xl/activeX/activeX30.xml" ContentType="application/vnd.ms-office.activeX+xml"/>
  <Override PartName="/xl/activeX/activeX31.bin" ContentType="application/vnd.ms-office.activeX"/>
  <Override PartName="/xl/activeX/activeX31.xml" ContentType="application/vnd.ms-office.activeX+xml"/>
  <Override PartName="/xl/activeX/activeX32.bin" ContentType="application/vnd.ms-office.activeX"/>
  <Override PartName="/xl/activeX/activeX32.xml" ContentType="application/vnd.ms-office.activeX+xml"/>
  <Override PartName="/xl/activeX/activeX33.bin" ContentType="application/vnd.ms-office.activeX"/>
  <Override PartName="/xl/activeX/activeX33.xml" ContentType="application/vnd.ms-office.activeX+xml"/>
  <Override PartName="/xl/activeX/activeX34.bin" ContentType="application/vnd.ms-office.activeX"/>
  <Override PartName="/xl/activeX/activeX34.xml" ContentType="application/vnd.ms-office.activeX+xml"/>
  <Override PartName="/xl/activeX/activeX35.bin" ContentType="application/vnd.ms-office.activeX"/>
  <Override PartName="/xl/activeX/activeX35.xml" ContentType="application/vnd.ms-office.activeX+xml"/>
  <Override PartName="/xl/activeX/activeX36.bin" ContentType="application/vnd.ms-office.activeX"/>
  <Override PartName="/xl/activeX/activeX36.xml" ContentType="application/vnd.ms-office.activeX+xml"/>
  <Override PartName="/xl/activeX/activeX37.bin" ContentType="application/vnd.ms-office.activeX"/>
  <Override PartName="/xl/activeX/activeX37.xml" ContentType="application/vnd.ms-office.activeX+xml"/>
  <Override PartName="/xl/activeX/activeX38.bin" ContentType="application/vnd.ms-office.activeX"/>
  <Override PartName="/xl/activeX/activeX38.xml" ContentType="application/vnd.ms-office.activeX+xml"/>
  <Override PartName="/xl/activeX/activeX39.bin" ContentType="application/vnd.ms-office.activeX"/>
  <Override PartName="/xl/activeX/activeX39.xml" ContentType="application/vnd.ms-office.activeX+xml"/>
  <Override PartName="/xl/activeX/activeX4.bin" ContentType="application/vnd.ms-office.activeX"/>
  <Override PartName="/xl/activeX/activeX4.xml" ContentType="application/vnd.ms-office.activeX+xml"/>
  <Override PartName="/xl/activeX/activeX40.bin" ContentType="application/vnd.ms-office.activeX"/>
  <Override PartName="/xl/activeX/activeX40.xml" ContentType="application/vnd.ms-office.activeX+xml"/>
  <Override PartName="/xl/activeX/activeX41.bin" ContentType="application/vnd.ms-office.activeX"/>
  <Override PartName="/xl/activeX/activeX41.xml" ContentType="application/vnd.ms-office.activeX+xml"/>
  <Override PartName="/xl/activeX/activeX42.bin" ContentType="application/vnd.ms-office.activeX"/>
  <Override PartName="/xl/activeX/activeX42.xml" ContentType="application/vnd.ms-office.activeX+xml"/>
  <Override PartName="/xl/activeX/activeX43.bin" ContentType="application/vnd.ms-office.activeX"/>
  <Override PartName="/xl/activeX/activeX43.xml" ContentType="application/vnd.ms-office.activeX+xml"/>
  <Override PartName="/xl/activeX/activeX44.bin" ContentType="application/vnd.ms-office.activeX"/>
  <Override PartName="/xl/activeX/activeX44.xml" ContentType="application/vnd.ms-office.activeX+xml"/>
  <Override PartName="/xl/activeX/activeX45.bin" ContentType="application/vnd.ms-office.activeX"/>
  <Override PartName="/xl/activeX/activeX45.xml" ContentType="application/vnd.ms-office.activeX+xml"/>
  <Override PartName="/xl/activeX/activeX46.bin" ContentType="application/vnd.ms-office.activeX"/>
  <Override PartName="/xl/activeX/activeX46.xml" ContentType="application/vnd.ms-office.activeX+xml"/>
  <Override PartName="/xl/activeX/activeX47.bin" ContentType="application/vnd.ms-office.activeX"/>
  <Override PartName="/xl/activeX/activeX47.xml" ContentType="application/vnd.ms-office.activeX+xml"/>
  <Override PartName="/xl/activeX/activeX48.bin" ContentType="application/vnd.ms-office.activeX"/>
  <Override PartName="/xl/activeX/activeX48.xml" ContentType="application/vnd.ms-office.activeX+xml"/>
  <Override PartName="/xl/activeX/activeX49.bin" ContentType="application/vnd.ms-office.activeX"/>
  <Override PartName="/xl/activeX/activeX49.xml" ContentType="application/vnd.ms-office.activeX+xml"/>
  <Override PartName="/xl/activeX/activeX5.bin" ContentType="application/vnd.ms-office.activeX"/>
  <Override PartName="/xl/activeX/activeX5.xml" ContentType="application/vnd.ms-office.activeX+xml"/>
  <Override PartName="/xl/activeX/activeX6.bin" ContentType="application/vnd.ms-office.activeX"/>
  <Override PartName="/xl/activeX/activeX6.xml" ContentType="application/vnd.ms-office.activeX+xml"/>
  <Override PartName="/xl/activeX/activeX7.bin" ContentType="application/vnd.ms-office.activeX"/>
  <Override PartName="/xl/activeX/activeX7.xml" ContentType="application/vnd.ms-office.activeX+xml"/>
  <Override PartName="/xl/activeX/activeX8.bin" ContentType="application/vnd.ms-office.activeX"/>
  <Override PartName="/xl/activeX/activeX8.xml" ContentType="application/vnd.ms-office.activeX+xml"/>
  <Override PartName="/xl/activeX/activeX9.bin" ContentType="application/vnd.ms-office.activeX"/>
  <Override PartName="/xl/activeX/activeX9.xml" ContentType="application/vnd.ms-office.activeX+xml"/>
  <Override PartName="/xl/comments1.xml" ContentType="application/vnd.openxmlformats-officedocument.spreadsheetml.comment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workbookProtection workbookPassword="EF45" lockStructure="1"/>
  <bookViews>
    <workbookView windowWidth="20385" windowHeight="8985" activeTab="1"/>
  </bookViews>
  <sheets>
    <sheet name="功能研究录入界面" sheetId="1" r:id="rId1"/>
    <sheet name="功能研究记录" sheetId="2" r:id="rId2"/>
    <sheet name="后台选项" sheetId="3" state="hidden" r:id="rId3"/>
    <sheet name="中转站" sheetId="4" r:id="rId4"/>
  </sheets>
  <definedNames>
    <definedName name="Adrenocortical_Carcinoma_肾上腺皮质癌_ACC">后台选项!$B$2:$C$2</definedName>
    <definedName name="Bladder_Cancer_膀胱癌">后台选项!$B$3:$D$3</definedName>
    <definedName name="Brain_Higher_Grade_Glioma_脑高级别神经胶质瘤_HGG">后台选项!$B$4:$D$4</definedName>
    <definedName name="Brain_Lower_Grade_Glioma_脑低级别神经胶质瘤_LGG">后台选项!$B$5:$C$5</definedName>
    <definedName name="Breast_Invasive_Carcinoma_乳腺癌_BRCA">后台选项!$B$6:$C$6</definedName>
    <definedName name="Cervical_Carcinoma_子宫颈癌_CECA">后台选项!$B$7:$E$7</definedName>
    <definedName name="Cholangiocarcinoma_胆管细胞癌_CHOL">后台选项!$B$8:$C$8</definedName>
    <definedName name="Colon_Cancer_结肠癌">后台选项!$B$9:$D$9</definedName>
    <definedName name="Esophageal_Cancer_食管癌">后台选项!$B$10:$E$10</definedName>
    <definedName name="Head_and_Neck_Cancer_Non_Nasopharyngeal_Carcinoma_头颈部癌_非鼻咽癌_HNC">后台选项!$B$11:$C$11</definedName>
    <definedName name="Hodgkin_Lymphoma_霍奇金淋巴瘤_HL">后台选项!$B$12:$C$12</definedName>
    <definedName name="Kidney_Cancer_肾癌">后台选项!$B$13:$F$13</definedName>
    <definedName name="Leukemia_白血病">后台选项!$B$14:$E$14</definedName>
    <definedName name="Liver_Hepatocellular_Carcinoma_肝细胞肝癌_LIHC">后台选项!$B$15:$C$15</definedName>
    <definedName name="Melanoma_黑色素瘤">后台选项!$B$16:$D$16</definedName>
    <definedName name="Mesothelioma_间皮瘤_MESO">后台选项!$B$17:$C$17</definedName>
    <definedName name="Nasopharyngeal_Squamous_Cell_Carcinoma_鼻咽鳞状细胞癌_NSCC">后台选项!$B$18:$C$18</definedName>
    <definedName name="Non_Hodgkin_Lymphoma_非霍奇金淋巴瘤_NHL">后台选项!$B$19:$D$19</definedName>
    <definedName name="Non_Small_Cell_Lung_Cancer_非小细胞肺癌_NSCLC">后台选项!$B$20:$E$20</definedName>
    <definedName name="Others">后台选项!$B$21</definedName>
    <definedName name="Ovarian_Cancer_卵巢癌">后台选项!$B$22:$D$22</definedName>
    <definedName name="Pancreatic_Cancer_胰腺癌">后台选项!$B$23:$D$23</definedName>
    <definedName name="Pheochromocytoma_and_Paraganglioma_嗜铬细胞瘤与副神经节瘤_PCPG">后台选项!$B$24:$C$24</definedName>
    <definedName name="Prostate_Adenocarcinoma_前列腺癌_PRAD">后台选项!$B$25:$C$25</definedName>
    <definedName name="Rectum_Cancer_直肠癌">后台选项!$B$26:$D$26</definedName>
    <definedName name="Sarcoma_肉瘤_SARC">后台选项!$B$27:$C$27</definedName>
    <definedName name="Skin_Malignancy_皮肤恶性肿瘤">后台选项!$B$28:$E$28</definedName>
    <definedName name="Small_Cell_Lung_Cancer_小细胞肺癌_SCLC">后台选项!$B$29:$C$29</definedName>
    <definedName name="Stomach_Cancer_胃癌">后台选项!$B$30:$D$30</definedName>
    <definedName name="Testicular_Germ_Cell_Tumors_睾丸生殖细胞瘤_TGCT">后台选项!$B$31:$C$31</definedName>
    <definedName name="Thymoma_胸腺瘤_THYM">后台选项!$B$32:$C$32</definedName>
    <definedName name="Thyroid_Carcinoma_甲状腺癌_THCA">后台选项!$B$33:$C$33</definedName>
    <definedName name="Uterine_Carcinosarcoma_子宫癌肉瘤_UCS">后台选项!$B$34:$C$34</definedName>
    <definedName name="Uterine_Corpus_Endometrial_Carcinoma_子宫内膜癌_UCEC">后台选项!$B$35:$C$35</definedName>
    <definedName name="Uveal_Melanoma_葡萄膜黑色素瘤_UVM">后台选项!$B$36:$C$36</definedName>
    <definedName name="现象研究记录数目">功能研究记录!$A:$A</definedName>
  </definedNames>
  <calcPr calcId="144525"/>
</workbook>
</file>

<file path=xl/comments1.xml><?xml version="1.0" encoding="utf-8"?>
<comments xmlns="http://schemas.openxmlformats.org/spreadsheetml/2006/main">
  <authors>
    <author>Microsoft Office 用户</author>
  </authors>
  <commentList>
    <comment ref="D5" authorId="0">
      <text>
        <r>
          <rPr>
            <b/>
            <sz val="10"/>
            <color rgb="FF000000"/>
            <rFont val="Microsoft YaHei UI"/>
            <charset val="134"/>
          </rPr>
          <t>Microsoft Office 用户:</t>
        </r>
        <r>
          <rPr>
            <sz val="10"/>
            <color rgb="FF000000"/>
            <rFont val="Microsoft YaHei UI"/>
            <charset val="134"/>
          </rPr>
          <t xml:space="preserve">
</t>
        </r>
        <r>
          <rPr>
            <sz val="10"/>
            <color rgb="FF000000"/>
            <rFont val="等线"/>
            <scheme val="minor"/>
            <charset val="0"/>
          </rPr>
          <t xml:space="preserve">1. 肿瘤类型参考TCGA的tumor type及简写，请选择下列肿瘤父类型的选项。如无匹配的肿瘤父类型选项，请选择选项“Others”；
</t>
        </r>
        <r>
          <rPr>
            <sz val="10"/>
            <color rgb="FF000000"/>
            <rFont val="Microsoft YaHei UI"/>
            <charset val="134"/>
          </rPr>
          <t xml:space="preserve">2. </t>
        </r>
        <r>
          <rPr>
            <sz val="10"/>
            <color rgb="FF000000"/>
            <rFont val="等线"/>
            <scheme val="minor"/>
            <charset val="0"/>
          </rPr>
          <t>如该肿瘤存在子类型，请选择相应选项。如无匹配的子类型，请选择</t>
        </r>
        <r>
          <rPr>
            <sz val="10"/>
            <color rgb="FF000000"/>
            <rFont val="Microsoft YaHei UI"/>
            <charset val="134"/>
          </rPr>
          <t>[</t>
        </r>
        <r>
          <rPr>
            <sz val="10"/>
            <color rgb="FF000000"/>
            <rFont val="等线"/>
            <scheme val="minor"/>
            <charset val="0"/>
          </rPr>
          <t>选填</t>
        </r>
        <r>
          <rPr>
            <sz val="10"/>
            <color rgb="FF000000"/>
            <rFont val="Microsoft YaHei UI"/>
            <charset val="134"/>
          </rPr>
          <t>]</t>
        </r>
        <r>
          <rPr>
            <sz val="10"/>
            <color rgb="FF000000"/>
            <rFont val="等线"/>
            <scheme val="minor"/>
            <charset val="0"/>
          </rPr>
          <t>，删除“选填”二字，并手动输入该肿瘤子类型的英文全称；</t>
        </r>
        <r>
          <rPr>
            <sz val="10"/>
            <color rgb="FF000000"/>
            <rFont val="Microsoft YaHei UI"/>
            <charset val="134"/>
          </rPr>
          <t xml:space="preserve">
3. </t>
        </r>
        <r>
          <rPr>
            <sz val="10"/>
            <color rgb="FF000000"/>
            <rFont val="等线"/>
            <scheme val="minor"/>
            <charset val="0"/>
          </rPr>
          <t>如原文仅能明确父类型，则子类型一栏中选择“</t>
        </r>
        <r>
          <rPr>
            <sz val="10"/>
            <color rgb="FF000000"/>
            <rFont val="Microsoft YaHei UI"/>
            <charset val="134"/>
          </rPr>
          <t>NA"</t>
        </r>
        <r>
          <rPr>
            <sz val="10"/>
            <color rgb="FF000000"/>
            <rFont val="等线"/>
            <scheme val="minor"/>
            <charset val="0"/>
          </rPr>
          <t>。</t>
        </r>
      </text>
    </comment>
    <comment ref="D7" authorId="0">
      <text>
        <r>
          <rPr>
            <b/>
            <sz val="10"/>
            <color rgb="FF000000"/>
            <rFont val="Microsoft YaHei UI"/>
            <charset val="134"/>
          </rPr>
          <t>Microsoft Office 用户:</t>
        </r>
        <r>
          <rPr>
            <sz val="10"/>
            <color rgb="FF000000"/>
            <rFont val="Microsoft YaHei UI"/>
            <charset val="134"/>
          </rPr>
          <t xml:space="preserve">
</t>
        </r>
        <r>
          <rPr>
            <sz val="10"/>
            <color rgb="FF000000"/>
            <rFont val="等线"/>
            <scheme val="minor"/>
            <charset val="0"/>
          </rPr>
          <t>注：
如所研究细胞来源于自发性肿瘤动物模型或诱发性肿瘤动物模型，则归为“animal model”选项。如细胞来源于移植瘤肿瘤动物模型，则应归类为”cell line“选项。</t>
        </r>
      </text>
    </comment>
  </commentList>
</comments>
</file>

<file path=xl/sharedStrings.xml><?xml version="1.0" encoding="utf-8"?>
<sst xmlns="http://schemas.openxmlformats.org/spreadsheetml/2006/main" count="1208" uniqueCount="302">
  <si>
    <r>
      <rPr>
        <sz val="12"/>
        <color theme="1"/>
        <rFont val="Adobe 仿宋 Std R"/>
        <charset val="134"/>
      </rPr>
      <t>字段名称</t>
    </r>
  </si>
  <si>
    <r>
      <rPr>
        <sz val="12"/>
        <color theme="1"/>
        <rFont val="Adobe 仿宋 Std R"/>
        <charset val="134"/>
      </rPr>
      <t>字段编码</t>
    </r>
  </si>
  <si>
    <r>
      <rPr>
        <sz val="12"/>
        <color theme="1"/>
        <rFont val="Adobe 仿宋 Std R"/>
        <charset val="134"/>
      </rPr>
      <t>样卷</t>
    </r>
    <r>
      <rPr>
        <sz val="12"/>
        <color theme="1"/>
        <rFont val="Calibri Light"/>
        <charset val="134"/>
      </rPr>
      <t xml:space="preserve"> (Record0)</t>
    </r>
  </si>
  <si>
    <r>
      <rPr>
        <sz val="12"/>
        <color theme="1"/>
        <rFont val="Adobe 仿宋 Std R"/>
        <charset val="134"/>
      </rPr>
      <t>问卷</t>
    </r>
    <r>
      <rPr>
        <sz val="12"/>
        <color theme="1"/>
        <rFont val="Calibri Light"/>
        <charset val="134"/>
      </rPr>
      <t>1 (Record1)</t>
    </r>
  </si>
  <si>
    <r>
      <rPr>
        <sz val="12"/>
        <color theme="1"/>
        <rFont val="Adobe 仿宋 Std R"/>
        <charset val="134"/>
      </rPr>
      <t>问卷</t>
    </r>
    <r>
      <rPr>
        <sz val="12"/>
        <color theme="1"/>
        <rFont val="Calibri Light"/>
        <charset val="134"/>
      </rPr>
      <t>2 (Record2)</t>
    </r>
  </si>
  <si>
    <r>
      <rPr>
        <sz val="12"/>
        <color theme="1"/>
        <rFont val="Adobe 仿宋 Std R"/>
        <charset val="134"/>
      </rPr>
      <t>问卷</t>
    </r>
    <r>
      <rPr>
        <sz val="12"/>
        <color theme="1"/>
        <rFont val="Calibri Light"/>
        <charset val="134"/>
      </rPr>
      <t>3 (Record3)</t>
    </r>
  </si>
  <si>
    <r>
      <rPr>
        <sz val="12"/>
        <color theme="1"/>
        <rFont val="Adobe 仿宋 Std R"/>
        <charset val="134"/>
      </rPr>
      <t>问卷</t>
    </r>
    <r>
      <rPr>
        <sz val="12"/>
        <color theme="1"/>
        <rFont val="Calibri Light"/>
        <charset val="134"/>
      </rPr>
      <t>4 (Record4)</t>
    </r>
  </si>
  <si>
    <r>
      <rPr>
        <sz val="12"/>
        <color theme="1"/>
        <rFont val="Adobe 仿宋 Std R"/>
        <charset val="134"/>
      </rPr>
      <t>问卷</t>
    </r>
    <r>
      <rPr>
        <sz val="12"/>
        <color theme="1"/>
        <rFont val="Calibri Light"/>
        <charset val="134"/>
      </rPr>
      <t>5 (Record5)</t>
    </r>
  </si>
  <si>
    <r>
      <rPr>
        <sz val="12"/>
        <color theme="1"/>
        <rFont val="Adobe 仿宋 Std R"/>
        <charset val="134"/>
      </rPr>
      <t>问卷</t>
    </r>
    <r>
      <rPr>
        <sz val="12"/>
        <color theme="1"/>
        <rFont val="Calibri Light"/>
        <charset val="134"/>
      </rPr>
      <t>6 (Record6)</t>
    </r>
  </si>
  <si>
    <r>
      <rPr>
        <sz val="12"/>
        <color theme="1"/>
        <rFont val="Adobe 仿宋 Std R"/>
        <charset val="134"/>
      </rPr>
      <t>问卷</t>
    </r>
    <r>
      <rPr>
        <sz val="12"/>
        <color theme="1"/>
        <rFont val="Calibri Light"/>
        <charset val="134"/>
      </rPr>
      <t>7 (Record7)</t>
    </r>
  </si>
  <si>
    <r>
      <rPr>
        <sz val="12"/>
        <color theme="1"/>
        <rFont val="Adobe 仿宋 Std R"/>
        <charset val="134"/>
      </rPr>
      <t>问卷</t>
    </r>
    <r>
      <rPr>
        <sz val="12"/>
        <color theme="1"/>
        <rFont val="Calibri Light"/>
        <charset val="134"/>
      </rPr>
      <t>8 (Record8)</t>
    </r>
  </si>
  <si>
    <r>
      <rPr>
        <sz val="12"/>
        <color theme="1"/>
        <rFont val="Adobe 仿宋 Std R"/>
        <charset val="134"/>
      </rPr>
      <t>问卷</t>
    </r>
    <r>
      <rPr>
        <sz val="12"/>
        <color theme="1"/>
        <rFont val="Calibri Light"/>
        <charset val="134"/>
      </rPr>
      <t>9 (Record9)</t>
    </r>
  </si>
  <si>
    <r>
      <rPr>
        <sz val="12"/>
        <color theme="1"/>
        <rFont val="Adobe 仿宋 Std R"/>
        <charset val="134"/>
      </rPr>
      <t>文献基本信息</t>
    </r>
  </si>
  <si>
    <r>
      <rPr>
        <sz val="12"/>
        <color theme="1"/>
        <rFont val="Adobe 仿宋 Std R"/>
        <charset val="134"/>
      </rPr>
      <t>记录的编号</t>
    </r>
  </si>
  <si>
    <t>RecordID</t>
  </si>
  <si>
    <r>
      <rPr>
        <sz val="12"/>
        <color theme="1"/>
        <rFont val="Adobe 仿宋 Std R"/>
        <charset val="134"/>
      </rPr>
      <t>文献的标题</t>
    </r>
  </si>
  <si>
    <t>Title</t>
  </si>
  <si>
    <t>Up-regulation of microRNA-138 induce radiosensitization in lung cancer cells</t>
  </si>
  <si>
    <r>
      <rPr>
        <sz val="12"/>
        <color theme="1"/>
        <rFont val="Adobe 仿宋 Std R"/>
        <charset val="134"/>
      </rPr>
      <t>文献的</t>
    </r>
    <r>
      <rPr>
        <sz val="12"/>
        <color theme="1"/>
        <rFont val="Calibri Light"/>
        <charset val="134"/>
      </rPr>
      <t>ID</t>
    </r>
    <r>
      <rPr>
        <sz val="12"/>
        <color theme="1"/>
        <rFont val="Adobe 仿宋 Std R"/>
        <charset val="134"/>
      </rPr>
      <t>号</t>
    </r>
  </si>
  <si>
    <t>PMID</t>
  </si>
  <si>
    <t>24691972</t>
  </si>
  <si>
    <r>
      <rPr>
        <sz val="12"/>
        <color theme="1"/>
        <rFont val="Adobe 仿宋 Std R"/>
        <charset val="134"/>
      </rPr>
      <t>（一）起点：对象</t>
    </r>
  </si>
  <si>
    <r>
      <rPr>
        <sz val="12"/>
        <color theme="1"/>
        <rFont val="Calibri Light"/>
        <charset val="134"/>
      </rPr>
      <t xml:space="preserve">1.1 </t>
    </r>
    <r>
      <rPr>
        <sz val="12"/>
        <color theme="1"/>
        <rFont val="Adobe 仿宋 Std R"/>
        <charset val="134"/>
      </rPr>
      <t>肿瘤类型</t>
    </r>
  </si>
  <si>
    <t>Tumor_Type</t>
  </si>
  <si>
    <t>Non_Small_Cell_Lung_Cancer_非小细胞肺癌_NSCLC</t>
  </si>
  <si>
    <r>
      <rPr>
        <sz val="12"/>
        <color theme="1"/>
        <rFont val="Calibri Light"/>
        <charset val="134"/>
      </rPr>
      <t xml:space="preserve">1.1.1 </t>
    </r>
    <r>
      <rPr>
        <sz val="12"/>
        <color theme="1"/>
        <rFont val="Adobe 仿宋 Std R"/>
        <charset val="134"/>
      </rPr>
      <t>子类型</t>
    </r>
  </si>
  <si>
    <t>Sub_Tumor_Type</t>
  </si>
  <si>
    <t>Lung_Adenocarcinoma_肺腺癌_LUAD</t>
  </si>
  <si>
    <r>
      <rPr>
        <sz val="12"/>
        <color theme="1"/>
        <rFont val="Calibri Light"/>
        <charset val="134"/>
      </rPr>
      <t xml:space="preserve">1.2 </t>
    </r>
    <r>
      <rPr>
        <sz val="12"/>
        <color theme="1"/>
        <rFont val="Adobe 仿宋 Std R"/>
        <charset val="134"/>
      </rPr>
      <t>样本类型</t>
    </r>
  </si>
  <si>
    <t>Sample_Type</t>
  </si>
  <si>
    <t>cell_line</t>
  </si>
  <si>
    <r>
      <rPr>
        <sz val="12"/>
        <color theme="1"/>
        <rFont val="Calibri Light"/>
        <charset val="134"/>
      </rPr>
      <t xml:space="preserve">1.3 </t>
    </r>
    <r>
      <rPr>
        <sz val="12"/>
        <color theme="1"/>
        <rFont val="Adobe 仿宋 Std R"/>
        <charset val="134"/>
      </rPr>
      <t>样本名称</t>
    </r>
  </si>
  <si>
    <t>Sample_Name</t>
  </si>
  <si>
    <t>SPC-A-1</t>
  </si>
  <si>
    <r>
      <rPr>
        <sz val="12"/>
        <color theme="1"/>
        <rFont val="Adobe 仿宋 Std R"/>
        <charset val="134"/>
      </rPr>
      <t>（二）过程：干预（分子生物学干预）</t>
    </r>
  </si>
  <si>
    <r>
      <rPr>
        <sz val="12"/>
        <color theme="1"/>
        <rFont val="Calibri Light"/>
        <charset val="134"/>
      </rPr>
      <t xml:space="preserve">2.1 </t>
    </r>
    <r>
      <rPr>
        <sz val="12"/>
        <color theme="1"/>
        <rFont val="Adobe 仿宋 Std R"/>
        <charset val="134"/>
      </rPr>
      <t>分子生物学干预</t>
    </r>
    <r>
      <rPr>
        <sz val="12"/>
        <color theme="1"/>
        <rFont val="Calibri Light"/>
        <charset val="134"/>
      </rPr>
      <t>-1</t>
    </r>
  </si>
  <si>
    <t>Molecular_Biological_Intervention_1</t>
  </si>
  <si>
    <t>Yes</t>
  </si>
  <si>
    <r>
      <rPr>
        <sz val="12"/>
        <color theme="1"/>
        <rFont val="Calibri Light"/>
        <charset val="134"/>
      </rPr>
      <t xml:space="preserve">2.1.1 </t>
    </r>
    <r>
      <rPr>
        <sz val="12"/>
        <color theme="1"/>
        <rFont val="Adobe 仿宋 Std R"/>
        <charset val="134"/>
      </rPr>
      <t>分子生物学干预靶点类型</t>
    </r>
    <r>
      <rPr>
        <sz val="12"/>
        <color theme="1"/>
        <rFont val="Calibri Light"/>
        <charset val="134"/>
      </rPr>
      <t>-1</t>
    </r>
  </si>
  <si>
    <t>Type_of_Molecular_Biological_Intervention_Target_1</t>
  </si>
  <si>
    <t>microRNA_level</t>
  </si>
  <si>
    <r>
      <rPr>
        <sz val="12"/>
        <color theme="1"/>
        <rFont val="Calibri Light"/>
        <charset val="134"/>
      </rPr>
      <t xml:space="preserve">2.1.2 </t>
    </r>
    <r>
      <rPr>
        <sz val="12"/>
        <color theme="1"/>
        <rFont val="Adobe 仿宋 Std R"/>
        <charset val="134"/>
      </rPr>
      <t>被干预分子名称</t>
    </r>
    <r>
      <rPr>
        <sz val="12"/>
        <color theme="1"/>
        <rFont val="Calibri Light"/>
        <charset val="134"/>
      </rPr>
      <t>-1</t>
    </r>
  </si>
  <si>
    <t>Name_of_Targeted_Molecule_1</t>
  </si>
  <si>
    <t>MiR-138</t>
  </si>
  <si>
    <r>
      <rPr>
        <sz val="12"/>
        <color theme="1"/>
        <rFont val="Calibri Light"/>
        <charset val="134"/>
      </rPr>
      <t xml:space="preserve">2.1.3 </t>
    </r>
    <r>
      <rPr>
        <sz val="12"/>
        <color theme="1"/>
        <rFont val="Adobe 仿宋 Std R"/>
        <charset val="134"/>
      </rPr>
      <t>靶点基因</t>
    </r>
    <r>
      <rPr>
        <sz val="12"/>
        <color theme="1"/>
        <rFont val="Calibri Light"/>
        <charset val="134"/>
      </rPr>
      <t>ID-1</t>
    </r>
  </si>
  <si>
    <t>Targeted_GeneID_1</t>
  </si>
  <si>
    <t>NA</t>
  </si>
  <si>
    <r>
      <rPr>
        <sz val="12"/>
        <color theme="1"/>
        <rFont val="Calibri Light"/>
        <charset val="134"/>
      </rPr>
      <t xml:space="preserve">2.1.4 </t>
    </r>
    <r>
      <rPr>
        <sz val="12"/>
        <color theme="1"/>
        <rFont val="Adobe 仿宋 Std R"/>
        <charset val="134"/>
      </rPr>
      <t>干预措施</t>
    </r>
    <r>
      <rPr>
        <sz val="12"/>
        <color theme="1"/>
        <rFont val="Calibri Light"/>
        <charset val="134"/>
      </rPr>
      <t>-1</t>
    </r>
  </si>
  <si>
    <t>Intervention_Method_1</t>
  </si>
  <si>
    <t>reduce the level of mimics miR-138</t>
  </si>
  <si>
    <r>
      <rPr>
        <sz val="12"/>
        <color theme="1"/>
        <rFont val="Calibri Light"/>
        <charset val="134"/>
      </rPr>
      <t xml:space="preserve">2.2 </t>
    </r>
    <r>
      <rPr>
        <sz val="12"/>
        <color theme="1"/>
        <rFont val="Adobe 仿宋 Std R"/>
        <charset val="134"/>
      </rPr>
      <t>分子生物学干预</t>
    </r>
    <r>
      <rPr>
        <sz val="12"/>
        <color theme="1"/>
        <rFont val="Calibri Light"/>
        <charset val="134"/>
      </rPr>
      <t>-2</t>
    </r>
  </si>
  <si>
    <t>Molecular_Biological_Intervention_2</t>
  </si>
  <si>
    <t>no</t>
  </si>
  <si>
    <r>
      <rPr>
        <sz val="12"/>
        <color theme="1"/>
        <rFont val="Calibri Light"/>
        <charset val="134"/>
      </rPr>
      <t xml:space="preserve">2.2.1 </t>
    </r>
    <r>
      <rPr>
        <sz val="12"/>
        <color theme="1"/>
        <rFont val="Adobe 仿宋 Std R"/>
        <charset val="134"/>
      </rPr>
      <t>分子生物学干预靶点类型</t>
    </r>
    <r>
      <rPr>
        <sz val="12"/>
        <color theme="1"/>
        <rFont val="Calibri Light"/>
        <charset val="134"/>
      </rPr>
      <t>-2</t>
    </r>
  </si>
  <si>
    <t>Type_of_Molecular_Biological_Intervention_Target_2</t>
  </si>
  <si>
    <r>
      <rPr>
        <sz val="12"/>
        <color theme="1"/>
        <rFont val="Calibri Light"/>
        <charset val="134"/>
      </rPr>
      <t xml:space="preserve">2.2.2 </t>
    </r>
    <r>
      <rPr>
        <sz val="12"/>
        <color theme="1"/>
        <rFont val="Adobe 仿宋 Std R"/>
        <charset val="134"/>
      </rPr>
      <t>被干预分子名称</t>
    </r>
    <r>
      <rPr>
        <sz val="12"/>
        <color theme="1"/>
        <rFont val="Calibri Light"/>
        <charset val="134"/>
      </rPr>
      <t>-2</t>
    </r>
  </si>
  <si>
    <t>Name_of_Targeted_Molecule_2</t>
  </si>
  <si>
    <r>
      <rPr>
        <sz val="12"/>
        <color theme="1"/>
        <rFont val="Calibri Light"/>
        <charset val="134"/>
      </rPr>
      <t xml:space="preserve">2.2.3 </t>
    </r>
    <r>
      <rPr>
        <sz val="12"/>
        <color theme="1"/>
        <rFont val="Adobe 仿宋 Std R"/>
        <charset val="134"/>
      </rPr>
      <t>靶点基因</t>
    </r>
    <r>
      <rPr>
        <sz val="12"/>
        <color theme="1"/>
        <rFont val="Calibri Light"/>
        <charset val="134"/>
      </rPr>
      <t>ID-2</t>
    </r>
  </si>
  <si>
    <t>Targeted_GeneID_2</t>
  </si>
  <si>
    <r>
      <rPr>
        <sz val="12"/>
        <color theme="1"/>
        <rFont val="Calibri Light"/>
        <charset val="134"/>
      </rPr>
      <t xml:space="preserve">2.2.4 </t>
    </r>
    <r>
      <rPr>
        <sz val="12"/>
        <color theme="1"/>
        <rFont val="Adobe 仿宋 Std R"/>
        <charset val="134"/>
      </rPr>
      <t>干预措施</t>
    </r>
    <r>
      <rPr>
        <sz val="12"/>
        <color theme="1"/>
        <rFont val="Calibri Light"/>
        <charset val="134"/>
      </rPr>
      <t>-2</t>
    </r>
  </si>
  <si>
    <t>Intervention_Method_2</t>
  </si>
  <si>
    <r>
      <rPr>
        <sz val="12"/>
        <color theme="1"/>
        <rFont val="Adobe 仿宋 Std R"/>
        <charset val="134"/>
      </rPr>
      <t>（二）过程：干预（暴露）</t>
    </r>
  </si>
  <si>
    <r>
      <rPr>
        <sz val="12"/>
        <color theme="1"/>
        <rFont val="Calibri Light"/>
        <charset val="134"/>
      </rPr>
      <t xml:space="preserve">2.3 </t>
    </r>
    <r>
      <rPr>
        <sz val="12"/>
        <color theme="1"/>
        <rFont val="Adobe 仿宋 Std R"/>
        <charset val="134"/>
      </rPr>
      <t>暴露因素</t>
    </r>
    <r>
      <rPr>
        <sz val="12"/>
        <color theme="1"/>
        <rFont val="Calibri Light"/>
        <charset val="134"/>
      </rPr>
      <t>-1</t>
    </r>
  </si>
  <si>
    <t>Exposure_Factor_1</t>
  </si>
  <si>
    <r>
      <rPr>
        <sz val="12"/>
        <color theme="1"/>
        <rFont val="Calibri Light"/>
        <charset val="134"/>
      </rPr>
      <t xml:space="preserve">2.3.1 </t>
    </r>
    <r>
      <rPr>
        <sz val="12"/>
        <color theme="1"/>
        <rFont val="Adobe 仿宋 Std R"/>
        <charset val="134"/>
      </rPr>
      <t>暴露因素的类型</t>
    </r>
    <r>
      <rPr>
        <sz val="12"/>
        <color theme="1"/>
        <rFont val="Calibri Light"/>
        <charset val="134"/>
      </rPr>
      <t>-1</t>
    </r>
  </si>
  <si>
    <t>Type_of_Exposure_Factor_1</t>
  </si>
  <si>
    <r>
      <rPr>
        <sz val="12"/>
        <color theme="1"/>
        <rFont val="Calibri Light"/>
        <charset val="134"/>
      </rPr>
      <t xml:space="preserve">2.3.2 </t>
    </r>
    <r>
      <rPr>
        <sz val="12"/>
        <color theme="1"/>
        <rFont val="Adobe 仿宋 Std R"/>
        <charset val="134"/>
      </rPr>
      <t>暴露因素的名称</t>
    </r>
    <r>
      <rPr>
        <sz val="12"/>
        <color theme="1"/>
        <rFont val="Calibri Light"/>
        <charset val="134"/>
      </rPr>
      <t>-1</t>
    </r>
  </si>
  <si>
    <t>Name_of_Exposure_Factor_1</t>
  </si>
  <si>
    <r>
      <rPr>
        <sz val="12"/>
        <color theme="1"/>
        <rFont val="Calibri Light"/>
        <charset val="134"/>
      </rPr>
      <t xml:space="preserve">2.4 </t>
    </r>
    <r>
      <rPr>
        <sz val="12"/>
        <color theme="1"/>
        <rFont val="Adobe 仿宋 Std R"/>
        <charset val="134"/>
      </rPr>
      <t>暴露因素</t>
    </r>
    <r>
      <rPr>
        <sz val="12"/>
        <color theme="1"/>
        <rFont val="Calibri Light"/>
        <charset val="134"/>
      </rPr>
      <t>-2</t>
    </r>
  </si>
  <si>
    <t>Exposure_Factor_2</t>
  </si>
  <si>
    <t>No</t>
  </si>
  <si>
    <r>
      <rPr>
        <sz val="12"/>
        <color theme="1"/>
        <rFont val="Calibri Light"/>
        <charset val="134"/>
      </rPr>
      <t xml:space="preserve">2.4.1 </t>
    </r>
    <r>
      <rPr>
        <sz val="12"/>
        <color theme="1"/>
        <rFont val="Adobe 仿宋 Std R"/>
        <charset val="134"/>
      </rPr>
      <t>暴露因素的类型</t>
    </r>
    <r>
      <rPr>
        <sz val="12"/>
        <color theme="1"/>
        <rFont val="Calibri Light"/>
        <charset val="134"/>
      </rPr>
      <t>-2</t>
    </r>
  </si>
  <si>
    <t>Type_of_Exposure_Factor_2</t>
  </si>
  <si>
    <r>
      <rPr>
        <sz val="12"/>
        <color theme="1"/>
        <rFont val="Calibri Light"/>
        <charset val="134"/>
      </rPr>
      <t xml:space="preserve">2.4.2 </t>
    </r>
    <r>
      <rPr>
        <sz val="12"/>
        <color theme="1"/>
        <rFont val="Adobe 仿宋 Std R"/>
        <charset val="134"/>
      </rPr>
      <t>暴露因素的名称</t>
    </r>
    <r>
      <rPr>
        <sz val="12"/>
        <color theme="1"/>
        <rFont val="Calibri Light"/>
        <charset val="134"/>
      </rPr>
      <t>-2</t>
    </r>
  </si>
  <si>
    <t>Name_of_Exposure_Factor_2</t>
  </si>
  <si>
    <r>
      <rPr>
        <sz val="12"/>
        <color theme="1"/>
        <rFont val="Adobe 仿宋 Std R"/>
        <charset val="134"/>
      </rPr>
      <t>（二）过程：中间事件</t>
    </r>
  </si>
  <si>
    <r>
      <rPr>
        <sz val="12"/>
        <color theme="1"/>
        <rFont val="Calibri Light"/>
        <charset val="134"/>
      </rPr>
      <t xml:space="preserve">2.5 </t>
    </r>
    <r>
      <rPr>
        <sz val="12"/>
        <color theme="1"/>
        <rFont val="Adobe 仿宋 Std R"/>
        <charset val="134"/>
      </rPr>
      <t>是否存在中间事件</t>
    </r>
  </si>
  <si>
    <t>Intermediate_Event</t>
  </si>
  <si>
    <r>
      <rPr>
        <sz val="12"/>
        <color theme="1"/>
        <rFont val="Calibri Light"/>
        <charset val="134"/>
      </rPr>
      <t xml:space="preserve">2.5.1 </t>
    </r>
    <r>
      <rPr>
        <sz val="12"/>
        <color theme="1"/>
        <rFont val="Adobe 仿宋 Std R"/>
        <charset val="134"/>
      </rPr>
      <t>中间事件的类型</t>
    </r>
  </si>
  <si>
    <t>Type_of_Intermediate_Event</t>
  </si>
  <si>
    <t>Genetic Phenomena</t>
  </si>
  <si>
    <r>
      <rPr>
        <sz val="12"/>
        <color theme="1"/>
        <rFont val="Calibri Light"/>
        <charset val="134"/>
      </rPr>
      <t xml:space="preserve">2.5.2 </t>
    </r>
    <r>
      <rPr>
        <sz val="12"/>
        <color theme="1"/>
        <rFont val="Adobe 仿宋 Std R"/>
        <charset val="134"/>
      </rPr>
      <t>调控媒介及方式</t>
    </r>
  </si>
  <si>
    <t>Regulatory_Medium_and_Manner</t>
  </si>
  <si>
    <t>increased  the expression  of  SENP1</t>
  </si>
  <si>
    <r>
      <rPr>
        <sz val="12"/>
        <color theme="1"/>
        <rFont val="Adobe 仿宋 Std R"/>
        <charset val="134"/>
      </rPr>
      <t>（二）过程：辐射</t>
    </r>
  </si>
  <si>
    <r>
      <rPr>
        <sz val="12"/>
        <color theme="1"/>
        <rFont val="Calibri Light"/>
        <charset val="134"/>
      </rPr>
      <t xml:space="preserve">2.1.1 </t>
    </r>
    <r>
      <rPr>
        <sz val="12"/>
        <color theme="1"/>
        <rFont val="Adobe 仿宋 Std R"/>
        <charset val="134"/>
      </rPr>
      <t>射线类型</t>
    </r>
  </si>
  <si>
    <t>Type_of_Radiation_Source</t>
  </si>
  <si>
    <r>
      <rPr>
        <sz val="12"/>
        <color theme="1"/>
        <rFont val="Calibri Light"/>
        <charset val="134"/>
      </rPr>
      <t xml:space="preserve">2.1.2 </t>
    </r>
    <r>
      <rPr>
        <sz val="12"/>
        <color theme="1"/>
        <rFont val="Adobe 仿宋 Std R"/>
        <charset val="134"/>
      </rPr>
      <t>辐射剂量</t>
    </r>
  </si>
  <si>
    <t>Radiation_Dose</t>
  </si>
  <si>
    <t>[0,2,4,6,8,10GY]</t>
  </si>
  <si>
    <r>
      <rPr>
        <sz val="12"/>
        <color theme="1"/>
        <rFont val="Calibri Light"/>
        <charset val="134"/>
      </rPr>
      <t xml:space="preserve">2.1.3 </t>
    </r>
    <r>
      <rPr>
        <sz val="12"/>
        <color theme="1"/>
        <rFont val="Adobe 仿宋 Std R"/>
        <charset val="134"/>
      </rPr>
      <t>分割模式</t>
    </r>
  </si>
  <si>
    <t>Radiation_Fractionation</t>
  </si>
  <si>
    <t>（三）终点：结局</t>
  </si>
  <si>
    <r>
      <rPr>
        <sz val="12"/>
        <color theme="1"/>
        <rFont val="Calibri Light"/>
        <charset val="134"/>
      </rPr>
      <t xml:space="preserve">3.1 </t>
    </r>
    <r>
      <rPr>
        <sz val="12"/>
        <color theme="1"/>
        <rFont val="Adobe 仿宋 Std R"/>
        <charset val="134"/>
      </rPr>
      <t>参照对象</t>
    </r>
  </si>
  <si>
    <t>Reference_Object</t>
  </si>
  <si>
    <r>
      <rPr>
        <sz val="12"/>
        <color theme="1"/>
        <rFont val="Calibri Light"/>
        <charset val="134"/>
      </rPr>
      <t>blank</t>
    </r>
    <r>
      <rPr>
        <sz val="12"/>
        <color theme="1"/>
        <rFont val="宋体"/>
        <charset val="134"/>
      </rPr>
      <t>或</t>
    </r>
    <r>
      <rPr>
        <sz val="12"/>
        <color theme="1"/>
        <rFont val="Calibri Light"/>
        <charset val="134"/>
      </rPr>
      <t xml:space="preserve"> inhibitor NC+irradiaion</t>
    </r>
    <r>
      <rPr>
        <sz val="12"/>
        <color theme="1"/>
        <rFont val="宋体"/>
        <charset val="134"/>
      </rPr>
      <t>与</t>
    </r>
    <r>
      <rPr>
        <sz val="12"/>
        <color theme="1"/>
        <rFont val="Calibri Light"/>
        <charset val="134"/>
      </rPr>
      <t xml:space="preserve"> inhabitor miR-138+irradiation</t>
    </r>
  </si>
  <si>
    <r>
      <rPr>
        <sz val="12"/>
        <color theme="1"/>
        <rFont val="Calibri Light"/>
        <charset val="134"/>
      </rPr>
      <t xml:space="preserve">3.5 </t>
    </r>
    <r>
      <rPr>
        <sz val="12"/>
        <color theme="1"/>
        <rFont val="Adobe 仿宋 Std R"/>
        <charset val="134"/>
      </rPr>
      <t>放射敏感性改变结果</t>
    </r>
  </si>
  <si>
    <t>Result_of_Radiosensitivity_Change</t>
  </si>
  <si>
    <t>radiosensitivity reduced</t>
  </si>
  <si>
    <r>
      <rPr>
        <sz val="12"/>
        <color theme="1"/>
        <rFont val="Adobe 仿宋 Std R"/>
        <charset val="134"/>
      </rPr>
      <t>其他</t>
    </r>
  </si>
  <si>
    <r>
      <rPr>
        <sz val="12"/>
        <color theme="1"/>
        <rFont val="Adobe 仿宋 Std R"/>
        <charset val="134"/>
      </rPr>
      <t>原文关键语句</t>
    </r>
  </si>
  <si>
    <t>Key_Sentences</t>
  </si>
  <si>
    <t>MiR-138- regulating sensitivity of lung cancer cells to radiation</t>
  </si>
  <si>
    <r>
      <rPr>
        <sz val="12"/>
        <color theme="1"/>
        <rFont val="Adobe 仿宋 Std R"/>
        <charset val="134"/>
      </rPr>
      <t>录入者姓名</t>
    </r>
  </si>
  <si>
    <t>Signature</t>
  </si>
  <si>
    <t>龚盈盈</t>
  </si>
  <si>
    <r>
      <rPr>
        <sz val="12"/>
        <color theme="1"/>
        <rFont val="Adobe 仿宋 Std R"/>
        <charset val="134"/>
      </rPr>
      <t>时间</t>
    </r>
  </si>
  <si>
    <t>Time_Save</t>
  </si>
  <si>
    <t>A549</t>
  </si>
  <si>
    <t>increase the level of mimics miR-138</t>
  </si>
  <si>
    <t>reduce the expression  of  SENP1</t>
  </si>
  <si>
    <r>
      <rPr>
        <sz val="12"/>
        <color theme="1"/>
        <rFont val="等线"/>
        <charset val="134"/>
        <scheme val="minor"/>
      </rPr>
      <t>blank</t>
    </r>
    <r>
      <rPr>
        <sz val="12"/>
        <color theme="1"/>
        <rFont val="宋体"/>
        <charset val="134"/>
      </rPr>
      <t>或</t>
    </r>
    <r>
      <rPr>
        <sz val="12"/>
        <color theme="1"/>
        <rFont val="Calibri Light"/>
        <charset val="134"/>
      </rPr>
      <t xml:space="preserve"> mimics NC+irradiaion</t>
    </r>
    <r>
      <rPr>
        <sz val="12"/>
        <color theme="1"/>
        <rFont val="宋体"/>
        <charset val="134"/>
      </rPr>
      <t>与</t>
    </r>
    <r>
      <rPr>
        <sz val="12"/>
        <color theme="1"/>
        <rFont val="Calibri Light"/>
        <charset val="134"/>
      </rPr>
      <t xml:space="preserve"> mimics miR-138+irradiation</t>
    </r>
  </si>
  <si>
    <t>radiosensitivity enhanced</t>
  </si>
  <si>
    <t>Adenovirus-mediated expression of UHRF1 reduces the radiosensitivity of cervical cancer HeLa cells to gamma-irradiation</t>
  </si>
  <si>
    <t>19270723</t>
  </si>
  <si>
    <t>Cervical_Carcinoma_子宫颈癌_CECA</t>
  </si>
  <si>
    <t>HeLa</t>
  </si>
  <si>
    <t>gene_expression</t>
  </si>
  <si>
    <t xml:space="preserve"> UHRF1</t>
  </si>
  <si>
    <t>29128</t>
  </si>
  <si>
    <t>increase UHRF1 gene expression</t>
  </si>
  <si>
    <t>others</t>
  </si>
  <si>
    <t xml:space="preserve"> increases DNA repair protein XRCC4 expres-
sion</t>
  </si>
  <si>
    <t>γ ray</t>
  </si>
  <si>
    <t>[0,400GY]</t>
  </si>
  <si>
    <t>Single dose</t>
  </si>
  <si>
    <r>
      <rPr>
        <sz val="12"/>
        <color theme="1"/>
        <rFont val="Calibri Light"/>
        <charset val="134"/>
      </rPr>
      <t>Ad5+γ ray[0,400GY]</t>
    </r>
    <r>
      <rPr>
        <sz val="12"/>
        <color theme="1"/>
        <rFont val="宋体"/>
        <charset val="134"/>
      </rPr>
      <t>与</t>
    </r>
    <r>
      <rPr>
        <sz val="12"/>
        <color theme="1"/>
        <rFont val="Calibri Light"/>
        <charset val="134"/>
      </rPr>
      <t>Ad5-UHRF1+γ ray[0,400GY]</t>
    </r>
  </si>
  <si>
    <t xml:space="preserve">Adenovirus-mediated UHRF1 gene expression
reduces radiosensitivity of HeLa cells </t>
  </si>
  <si>
    <t>Cell Physiological Phenomena</t>
  </si>
  <si>
    <t>reduces apoptosis</t>
  </si>
  <si>
    <t>[6GY]</t>
  </si>
  <si>
    <r>
      <rPr>
        <sz val="12"/>
        <color theme="1"/>
        <rFont val="Calibri Light"/>
        <charset val="134"/>
      </rPr>
      <t>Ad5+γ ray[6GY]</t>
    </r>
    <r>
      <rPr>
        <sz val="12"/>
        <color theme="1"/>
        <rFont val="宋体"/>
        <charset val="134"/>
      </rPr>
      <t>与</t>
    </r>
    <r>
      <rPr>
        <sz val="12"/>
        <color theme="1"/>
        <rFont val="Calibri Light"/>
        <charset val="134"/>
      </rPr>
      <t>Ad5-UHRF1+γ ray[6GY]</t>
    </r>
  </si>
  <si>
    <t>[0,2,4,6,8GY]</t>
  </si>
  <si>
    <r>
      <rPr>
        <sz val="12"/>
        <color theme="1"/>
        <rFont val="Calibri Light"/>
        <charset val="134"/>
      </rPr>
      <t>Ad5+γ ray[0,2,4,6,8GY]</t>
    </r>
    <r>
      <rPr>
        <sz val="12"/>
        <color theme="1"/>
        <rFont val="宋体"/>
        <charset val="134"/>
      </rPr>
      <t>与</t>
    </r>
    <r>
      <rPr>
        <sz val="12"/>
        <color theme="1"/>
        <rFont val="Calibri Light"/>
        <charset val="134"/>
      </rPr>
      <t>Ad5-UHRF1+γ ray[0,2,4,6,8GY]</t>
    </r>
  </si>
  <si>
    <t>Impact of genomic methylation on radiation sensitivity of colorectal carcinoma</t>
  </si>
  <si>
    <t>20338477</t>
  </si>
  <si>
    <t>Others</t>
  </si>
  <si>
    <t>HCT116</t>
  </si>
  <si>
    <t>DNA_methylation</t>
  </si>
  <si>
    <t>DNMT1</t>
  </si>
  <si>
    <t>knockout DNMT1</t>
  </si>
  <si>
    <t xml:space="preserve"> DNMT1 and DNMT3b</t>
  </si>
  <si>
    <t>knockout DNMT1 and DNMT3b</t>
  </si>
  <si>
    <t>[0,1,2,3,4,5,6,7GY]</t>
  </si>
  <si>
    <r>
      <rPr>
        <sz val="12"/>
        <color theme="1"/>
        <rFont val="Calibri Light"/>
        <charset val="134"/>
      </rPr>
      <t>DNMT3b-deficient+irradiation</t>
    </r>
    <r>
      <rPr>
        <sz val="12"/>
        <color theme="1"/>
        <rFont val="宋体"/>
        <charset val="134"/>
      </rPr>
      <t>与irradiaion</t>
    </r>
  </si>
  <si>
    <t>Radiation sensitivity of knockouts of DNMT1, DNMT3b, or double DNMT ko</t>
  </si>
  <si>
    <t xml:space="preserve"> CO115</t>
  </si>
  <si>
    <t>chemical exposure</t>
  </si>
  <si>
    <t>AZA</t>
  </si>
  <si>
    <t>inhibite DNMT</t>
  </si>
  <si>
    <t>[0,2,4,6,8,10,12GY]</t>
  </si>
  <si>
    <r>
      <rPr>
        <sz val="12"/>
        <color theme="1"/>
        <rFont val="Calibri Light"/>
        <charset val="134"/>
      </rPr>
      <t>IR[0,2,4,6,8,10,12GY]</t>
    </r>
    <r>
      <rPr>
        <sz val="12"/>
        <color theme="1"/>
        <rFont val="宋体"/>
        <charset val="134"/>
      </rPr>
      <t>与</t>
    </r>
    <r>
      <rPr>
        <sz val="12"/>
        <color theme="1"/>
        <rFont val="Calibri Light"/>
        <charset val="134"/>
      </rPr>
      <t>AZA+IR[0,2,4,6,8,10,12GY]</t>
    </r>
  </si>
  <si>
    <t>DNMT-inhibition with AZA sensitizes cells to radiation</t>
  </si>
  <si>
    <t xml:space="preserve"> LS174T</t>
  </si>
  <si>
    <t xml:space="preserve"> SW480</t>
  </si>
  <si>
    <t xml:space="preserve"> HCT116</t>
  </si>
  <si>
    <t>MiR-122 Induces Radiosensitization in Non-Small Cell Lung Cancer Cell Line</t>
  </si>
  <si>
    <t>26389880</t>
  </si>
  <si>
    <t>miR-122</t>
  </si>
  <si>
    <t xml:space="preserve">constructe the adenovirus vector Ad-miR122  </t>
  </si>
  <si>
    <t>down-regulate c-IAP-2</t>
  </si>
  <si>
    <r>
      <rPr>
        <sz val="12"/>
        <color theme="1"/>
        <rFont val="等线"/>
        <charset val="134"/>
        <scheme val="minor"/>
      </rPr>
      <t>Ad-control+γ ray[6GY]</t>
    </r>
    <r>
      <rPr>
        <sz val="12"/>
        <color theme="1"/>
        <rFont val="宋体"/>
        <charset val="134"/>
      </rPr>
      <t>与</t>
    </r>
    <r>
      <rPr>
        <sz val="12"/>
        <color theme="1"/>
        <rFont val="Calibri Light"/>
        <charset val="134"/>
      </rPr>
      <t>Ad-MiR-122+γ ray[6GY]</t>
    </r>
  </si>
  <si>
    <t>MiR-122 Enhances the Radiosensitization of A549 Cells</t>
  </si>
  <si>
    <t>down-regulate c-IAP-1</t>
  </si>
  <si>
    <t>down-regulate Survivin</t>
  </si>
  <si>
    <t>reduce the expression of IGF1R</t>
  </si>
  <si>
    <t>reduce the expression of BCL-W</t>
  </si>
  <si>
    <t>increase  invasion</t>
  </si>
  <si>
    <t xml:space="preserve">increase the apoptosis rate </t>
  </si>
  <si>
    <t>Enhances the DNA Double Strand Break</t>
  </si>
  <si>
    <r>
      <rPr>
        <sz val="12"/>
        <color theme="1"/>
        <rFont val="等线"/>
        <charset val="134"/>
        <scheme val="minor"/>
      </rPr>
      <t>Ad-control+γ ray[0,2,4,6,8,10GY]</t>
    </r>
    <r>
      <rPr>
        <sz val="12"/>
        <color theme="1"/>
        <rFont val="宋体"/>
        <charset val="134"/>
      </rPr>
      <t>与</t>
    </r>
    <r>
      <rPr>
        <sz val="12"/>
        <color theme="1"/>
        <rFont val="Calibri Light"/>
        <charset val="134"/>
      </rPr>
      <t>Ad-MiR-122+γ ray[0,2,4,6,8,10GY]</t>
    </r>
  </si>
  <si>
    <t>MicroRNA-375 Inhibits Growth and Enhances Radiosensitivity in Oral Squamous Cell Carcinoma by Targeting Insulin Like Growth Factor 1 Receptor</t>
  </si>
  <si>
    <t>28810236</t>
  </si>
  <si>
    <t>Head_and_Neck_Cancer_Non_Nasopharyngeal_Carcinoma_头颈部癌_非鼻咽癌_HNC</t>
  </si>
  <si>
    <t>Oral Squamous Cell Carcinoma</t>
  </si>
  <si>
    <t>SCC-4</t>
  </si>
  <si>
    <t>miR-375</t>
  </si>
  <si>
    <t>transfected with miR-375/mimics</t>
  </si>
  <si>
    <t>enhanced irradiation-induced apoptosis</t>
  </si>
  <si>
    <t>X ray (Photon)</t>
  </si>
  <si>
    <r>
      <rPr>
        <sz val="12"/>
        <color theme="1"/>
        <rFont val="等线"/>
        <charset val="134"/>
        <scheme val="minor"/>
      </rPr>
      <t>miR-NC/minics+Xray[0,2,4,6,8GY]</t>
    </r>
    <r>
      <rPr>
        <sz val="12"/>
        <color theme="1"/>
        <rFont val="宋体"/>
        <charset val="134"/>
      </rPr>
      <t>与</t>
    </r>
    <r>
      <rPr>
        <sz val="12"/>
        <color theme="1"/>
        <rFont val="Calibri Light"/>
        <charset val="134"/>
      </rPr>
      <t>miR-375/minics+Xray[0,2,4,6,8GY]</t>
    </r>
  </si>
  <si>
    <t xml:space="preserve">Upregulation of miR-375 significantly enhanced
irradiation-induced apoptosis in SCC-4 cells </t>
  </si>
  <si>
    <t>transfected with miR-375/inhibitor</t>
  </si>
  <si>
    <t>reduced irradiation-induced apoptosis</t>
  </si>
  <si>
    <r>
      <rPr>
        <sz val="12"/>
        <color theme="1"/>
        <rFont val="等线"/>
        <charset val="134"/>
        <scheme val="minor"/>
      </rPr>
      <t>miR-NC/hibitor+Xray[0,2,4,6,8GY]</t>
    </r>
    <r>
      <rPr>
        <sz val="12"/>
        <color theme="1"/>
        <rFont val="宋体"/>
        <charset val="134"/>
      </rPr>
      <t>与</t>
    </r>
    <r>
      <rPr>
        <sz val="12"/>
        <color theme="1"/>
        <rFont val="Calibri Light"/>
        <charset val="134"/>
      </rPr>
      <t>miR-375/inhibitor+Xray[0,2,4,6,8GY]</t>
    </r>
  </si>
  <si>
    <t>radioresistance enhanced</t>
  </si>
  <si>
    <t>while downregulation miR-375 reduced irradiation-induced apoptosis in SCC-4 cells</t>
  </si>
  <si>
    <t>NO</t>
  </si>
  <si>
    <t>the survival rate in 4.0, 6.0 and 8.0 Gy-irradiated SCC-4/miR-375/inhibitor cells was observed to be increased, in comparison with the control group(Fig. 2F).</t>
  </si>
  <si>
    <t xml:space="preserve">transfected with miR-375/mimics </t>
  </si>
  <si>
    <r>
      <rPr>
        <sz val="12"/>
        <color theme="1"/>
        <rFont val="等线"/>
        <charset val="134"/>
        <scheme val="minor"/>
      </rPr>
      <t>miR-NC/mimics+Xray[0,2,4,6,8GY]</t>
    </r>
    <r>
      <rPr>
        <sz val="12"/>
        <color theme="1"/>
        <rFont val="宋体"/>
        <charset val="134"/>
      </rPr>
      <t>与</t>
    </r>
    <r>
      <rPr>
        <sz val="12"/>
        <color theme="1"/>
        <rFont val="Calibri Light"/>
        <charset val="134"/>
      </rPr>
      <t>miR-375/mimics+Xray[0,2,4,6,8GY]</t>
    </r>
  </si>
  <si>
    <t>In SCC-4 cells, the survival rate was observed to be reduced in 2.0, 4.0, 6.0 and 8.0-Gy-irradiated SCC-4/miR-375/mimics cells, when compared with SCC-4/miR-NC/mics cells (Fig. 2E).</t>
  </si>
  <si>
    <t>[Short hairpin RNA-mediated MDC1 gene silencing enhances the radiosensitivity of esophageal squamous cell carcinoma cell line ECA109]</t>
  </si>
  <si>
    <t>20813677</t>
  </si>
  <si>
    <t>Esophageal_Cancer_食管癌</t>
  </si>
  <si>
    <t>ECA109</t>
  </si>
  <si>
    <t>MDC1</t>
  </si>
  <si>
    <t>[9656]</t>
  </si>
  <si>
    <t>silence MDC1</t>
  </si>
  <si>
    <t>[0,1,2,4,6,8GY]</t>
  </si>
  <si>
    <t>ECA109+irradiation,ECA109/NEGATIVE+irradiation</t>
  </si>
  <si>
    <t xml:space="preserve">  RNAinterferencecaninhibitMDC1geneexpressionandenhancetheradiosensitivityofECA109cells in vitro</t>
  </si>
  <si>
    <t>Expression profile of apoptosis related genes and radio-sensitivity of prostate cancer cells</t>
  </si>
  <si>
    <t>22010081</t>
  </si>
  <si>
    <t>Prostate_Adenocarcinoma_前列腺癌_PRAD</t>
  </si>
  <si>
    <t xml:space="preserve">LNCaP </t>
  </si>
  <si>
    <t>Monensin</t>
  </si>
  <si>
    <t>increase the apoptosis percentage with 5 μM of monensin treatment</t>
  </si>
  <si>
    <t>[0,2,6,10GY]</t>
  </si>
  <si>
    <r>
      <rPr>
        <sz val="12"/>
        <color theme="1"/>
        <rFont val="Calibri Light"/>
        <charset val="134"/>
      </rPr>
      <t>monensin treatment+ X-rays</t>
    </r>
    <r>
      <rPr>
        <sz val="12"/>
        <color theme="1"/>
        <rFont val="宋体"/>
        <charset val="134"/>
      </rPr>
      <t>与</t>
    </r>
    <r>
      <rPr>
        <sz val="12"/>
        <color theme="1"/>
        <rFont val="Calibri Light"/>
        <charset val="134"/>
      </rPr>
      <t xml:space="preserve"> X-rays</t>
    </r>
  </si>
  <si>
    <t>Cell killing and radiosensitizing effects induced by monensin</t>
  </si>
  <si>
    <t xml:space="preserve">PC3 </t>
  </si>
  <si>
    <r>
      <rPr>
        <sz val="12"/>
        <color theme="1"/>
        <rFont val="Calibri Light"/>
        <charset val="134"/>
      </rPr>
      <t>DMSO+ gamma irradiation</t>
    </r>
    <r>
      <rPr>
        <sz val="12"/>
        <color theme="1"/>
        <rFont val="宋体"/>
        <charset val="134"/>
      </rPr>
      <t>与</t>
    </r>
    <r>
      <rPr>
        <sz val="12"/>
        <color theme="1"/>
        <rFont val="Calibri Light"/>
        <charset val="134"/>
      </rPr>
      <t xml:space="preserve"> Monensin+ gamma irradiation </t>
    </r>
  </si>
  <si>
    <t>no statistical change</t>
  </si>
  <si>
    <t xml:space="preserve">20 μM Monensin sensitized LNCaP cells to gamma irradiation by a factor of 3, but no sensitizing effect was seen in PC3 cells </t>
  </si>
  <si>
    <t xml:space="preserve"> LNCaP</t>
  </si>
  <si>
    <r>
      <rPr>
        <sz val="12"/>
        <color theme="1"/>
        <rFont val="Calibri Light"/>
        <charset val="134"/>
      </rPr>
      <t>Adrenocortical_Carcinoma_</t>
    </r>
    <r>
      <rPr>
        <sz val="12"/>
        <color theme="1"/>
        <rFont val="Adobe 仿宋 Std R"/>
        <charset val="134"/>
      </rPr>
      <t>肾上腺皮质癌</t>
    </r>
    <r>
      <rPr>
        <sz val="12"/>
        <color theme="1"/>
        <rFont val="Calibri Light"/>
        <charset val="134"/>
      </rPr>
      <t>_ACC</t>
    </r>
  </si>
  <si>
    <r>
      <rPr>
        <sz val="12"/>
        <color theme="1"/>
        <rFont val="Calibri Light"/>
        <charset val="134"/>
      </rPr>
      <t>[</t>
    </r>
    <r>
      <rPr>
        <sz val="12"/>
        <color theme="1"/>
        <rFont val="Adobe 仿宋 Std R"/>
        <charset val="134"/>
      </rPr>
      <t>选填</t>
    </r>
    <r>
      <rPr>
        <sz val="12"/>
        <color theme="1"/>
        <rFont val="Calibri Light"/>
        <charset val="134"/>
      </rPr>
      <t>]</t>
    </r>
  </si>
  <si>
    <r>
      <rPr>
        <sz val="12"/>
        <color theme="1"/>
        <rFont val="Calibri Light"/>
        <charset val="134"/>
      </rPr>
      <t>Bladder_Cancer_</t>
    </r>
    <r>
      <rPr>
        <sz val="12"/>
        <color theme="1"/>
        <rFont val="Adobe 仿宋 Std R"/>
        <charset val="134"/>
      </rPr>
      <t>膀胱癌</t>
    </r>
  </si>
  <si>
    <r>
      <rPr>
        <sz val="12"/>
        <color theme="1"/>
        <rFont val="Calibri Light"/>
        <charset val="134"/>
      </rPr>
      <t>Bladder_Urothelial_Carcinoma_</t>
    </r>
    <r>
      <rPr>
        <sz val="12"/>
        <color theme="1"/>
        <rFont val="Adobe 仿宋 Std R"/>
        <charset val="134"/>
      </rPr>
      <t>膀胱尿路上皮癌</t>
    </r>
    <r>
      <rPr>
        <sz val="12"/>
        <color theme="1"/>
        <rFont val="Calibri Light"/>
        <charset val="134"/>
      </rPr>
      <t>_BLCA</t>
    </r>
  </si>
  <si>
    <r>
      <rPr>
        <sz val="12"/>
        <color theme="1"/>
        <rFont val="Calibri Light"/>
        <charset val="134"/>
      </rPr>
      <t>Brain_Higher_Grade_Glioma_</t>
    </r>
    <r>
      <rPr>
        <sz val="12"/>
        <color theme="1"/>
        <rFont val="Adobe 仿宋 Std R"/>
        <charset val="134"/>
      </rPr>
      <t>脑高级别神经胶质瘤</t>
    </r>
    <r>
      <rPr>
        <sz val="12"/>
        <color theme="1"/>
        <rFont val="Calibri Light"/>
        <charset val="134"/>
      </rPr>
      <t>_HGG</t>
    </r>
  </si>
  <si>
    <r>
      <rPr>
        <sz val="12"/>
        <color theme="1"/>
        <rFont val="Calibri Light"/>
        <charset val="134"/>
      </rPr>
      <t>Glioblastoma_Multiforme_</t>
    </r>
    <r>
      <rPr>
        <sz val="12"/>
        <color theme="1"/>
        <rFont val="Adobe 仿宋 Std R"/>
        <charset val="134"/>
      </rPr>
      <t>胶质母细胞瘤</t>
    </r>
    <r>
      <rPr>
        <sz val="12"/>
        <color theme="1"/>
        <rFont val="Calibri Light"/>
        <charset val="134"/>
      </rPr>
      <t>_GBM</t>
    </r>
  </si>
  <si>
    <r>
      <rPr>
        <sz val="12"/>
        <color theme="1"/>
        <rFont val="Calibri Light"/>
        <charset val="134"/>
      </rPr>
      <t>Brain_Lower_Grade_Glioma_</t>
    </r>
    <r>
      <rPr>
        <sz val="12"/>
        <color theme="1"/>
        <rFont val="Adobe 仿宋 Std R"/>
        <charset val="134"/>
      </rPr>
      <t>脑低级别神经胶质瘤</t>
    </r>
    <r>
      <rPr>
        <sz val="12"/>
        <color theme="1"/>
        <rFont val="Calibri Light"/>
        <charset val="134"/>
      </rPr>
      <t>_LGG</t>
    </r>
  </si>
  <si>
    <r>
      <rPr>
        <sz val="12"/>
        <color theme="1"/>
        <rFont val="Calibri Light"/>
        <charset val="134"/>
      </rPr>
      <t>Breast_Invasive_Carcinoma_</t>
    </r>
    <r>
      <rPr>
        <sz val="12"/>
        <color theme="1"/>
        <rFont val="Adobe 仿宋 Std R"/>
        <charset val="134"/>
      </rPr>
      <t>乳腺癌</t>
    </r>
    <r>
      <rPr>
        <sz val="12"/>
        <color theme="1"/>
        <rFont val="Calibri Light"/>
        <charset val="134"/>
      </rPr>
      <t>_BRCA</t>
    </r>
  </si>
  <si>
    <r>
      <rPr>
        <sz val="12"/>
        <color theme="1"/>
        <rFont val="Calibri Light"/>
        <charset val="134"/>
      </rPr>
      <t>Cervical_Carcinoma_</t>
    </r>
    <r>
      <rPr>
        <sz val="12"/>
        <color theme="1"/>
        <rFont val="Adobe 仿宋 Std R"/>
        <charset val="134"/>
      </rPr>
      <t>子宫颈癌</t>
    </r>
    <r>
      <rPr>
        <sz val="12"/>
        <color theme="1"/>
        <rFont val="Calibri Light"/>
        <charset val="134"/>
      </rPr>
      <t>_CECA</t>
    </r>
  </si>
  <si>
    <r>
      <rPr>
        <sz val="12"/>
        <color theme="1"/>
        <rFont val="Calibri Light"/>
        <charset val="134"/>
      </rPr>
      <t>Cervical_Squamous_Cell_Carcinoma_</t>
    </r>
    <r>
      <rPr>
        <sz val="12"/>
        <color theme="1"/>
        <rFont val="Adobe 仿宋 Std R"/>
        <charset val="134"/>
      </rPr>
      <t>子宫颈鳞癌</t>
    </r>
    <r>
      <rPr>
        <sz val="12"/>
        <color theme="1"/>
        <rFont val="Calibri Light"/>
        <charset val="134"/>
      </rPr>
      <t>_CSCC</t>
    </r>
  </si>
  <si>
    <r>
      <rPr>
        <sz val="12"/>
        <color theme="1"/>
        <rFont val="Calibri Light"/>
        <charset val="134"/>
      </rPr>
      <t>Cervical_and_Endocervical_Adenocarcinoma_</t>
    </r>
    <r>
      <rPr>
        <sz val="12"/>
        <color theme="1"/>
        <rFont val="Adobe 仿宋 Std R"/>
        <charset val="134"/>
      </rPr>
      <t>子宫颈腺癌</t>
    </r>
  </si>
  <si>
    <r>
      <rPr>
        <sz val="12"/>
        <color theme="1"/>
        <rFont val="Calibri Light"/>
        <charset val="134"/>
      </rPr>
      <t>Cholangiocarcinoma_</t>
    </r>
    <r>
      <rPr>
        <sz val="12"/>
        <color theme="1"/>
        <rFont val="Adobe 仿宋 Std R"/>
        <charset val="134"/>
      </rPr>
      <t>胆管细胞癌</t>
    </r>
    <r>
      <rPr>
        <sz val="12"/>
        <color theme="1"/>
        <rFont val="Calibri Light"/>
        <charset val="134"/>
      </rPr>
      <t>_CHOL</t>
    </r>
  </si>
  <si>
    <r>
      <rPr>
        <sz val="12"/>
        <color theme="1"/>
        <rFont val="Calibri Light"/>
        <charset val="134"/>
      </rPr>
      <t>Colon_Cancer_</t>
    </r>
    <r>
      <rPr>
        <sz val="12"/>
        <color theme="1"/>
        <rFont val="Adobe 仿宋 Std R"/>
        <charset val="134"/>
      </rPr>
      <t>结肠癌</t>
    </r>
  </si>
  <si>
    <r>
      <rPr>
        <sz val="12"/>
        <color theme="1"/>
        <rFont val="Calibri Light"/>
        <charset val="134"/>
      </rPr>
      <t>Colon_Adenocarcinoma_</t>
    </r>
    <r>
      <rPr>
        <sz val="12"/>
        <color theme="1"/>
        <rFont val="Adobe 仿宋 Std R"/>
        <charset val="134"/>
      </rPr>
      <t>结肠腺癌</t>
    </r>
    <r>
      <rPr>
        <sz val="12"/>
        <color theme="1"/>
        <rFont val="Calibri Light"/>
        <charset val="134"/>
      </rPr>
      <t>_COAD</t>
    </r>
  </si>
  <si>
    <r>
      <rPr>
        <sz val="12"/>
        <color theme="1"/>
        <rFont val="Calibri Light"/>
        <charset val="134"/>
      </rPr>
      <t>Esophageal_Cancer_</t>
    </r>
    <r>
      <rPr>
        <sz val="12"/>
        <color theme="1"/>
        <rFont val="Adobe 仿宋 Std R"/>
        <charset val="134"/>
      </rPr>
      <t>食管癌</t>
    </r>
  </si>
  <si>
    <r>
      <rPr>
        <sz val="12"/>
        <color theme="1"/>
        <rFont val="Calibri Light"/>
        <charset val="134"/>
      </rPr>
      <t>Esophageal_Squamous_Cell_Carcinoma_</t>
    </r>
    <r>
      <rPr>
        <sz val="12"/>
        <color theme="1"/>
        <rFont val="Adobe 仿宋 Std R"/>
        <charset val="134"/>
      </rPr>
      <t>食管鳞癌</t>
    </r>
    <r>
      <rPr>
        <sz val="12"/>
        <color theme="1"/>
        <rFont val="Calibri Light"/>
        <charset val="134"/>
      </rPr>
      <t>_ESCC</t>
    </r>
  </si>
  <si>
    <r>
      <rPr>
        <sz val="12"/>
        <color theme="1"/>
        <rFont val="Calibri Light"/>
        <charset val="134"/>
      </rPr>
      <t>Esophageal_Adenocarcinoma_</t>
    </r>
    <r>
      <rPr>
        <sz val="12"/>
        <color theme="1"/>
        <rFont val="Adobe 仿宋 Std R"/>
        <charset val="134"/>
      </rPr>
      <t>食管腺癌</t>
    </r>
    <r>
      <rPr>
        <sz val="12"/>
        <color theme="1"/>
        <rFont val="Calibri Light"/>
        <charset val="134"/>
      </rPr>
      <t>_EAC</t>
    </r>
  </si>
  <si>
    <r>
      <rPr>
        <sz val="12"/>
        <color theme="1"/>
        <rFont val="Calibri Light"/>
        <charset val="134"/>
      </rPr>
      <t>Head_and_Neck_Cancer_Non_Nasopharyngeal_Carcinoma_</t>
    </r>
    <r>
      <rPr>
        <sz val="12"/>
        <color theme="1"/>
        <rFont val="Adobe 仿宋 Std R"/>
        <charset val="134"/>
      </rPr>
      <t>头颈部癌</t>
    </r>
    <r>
      <rPr>
        <sz val="12"/>
        <color theme="1"/>
        <rFont val="Calibri Light"/>
        <charset val="134"/>
      </rPr>
      <t>_</t>
    </r>
    <r>
      <rPr>
        <sz val="12"/>
        <color theme="1"/>
        <rFont val="Adobe 仿宋 Std R"/>
        <charset val="134"/>
      </rPr>
      <t>非鼻咽癌</t>
    </r>
    <r>
      <rPr>
        <sz val="12"/>
        <color theme="1"/>
        <rFont val="Calibri Light"/>
        <charset val="134"/>
      </rPr>
      <t>_HNC</t>
    </r>
  </si>
  <si>
    <r>
      <rPr>
        <sz val="12"/>
        <color theme="1"/>
        <rFont val="Calibri Light"/>
        <charset val="134"/>
      </rPr>
      <t>Hodgkin_Lymphoma_</t>
    </r>
    <r>
      <rPr>
        <sz val="12"/>
        <color theme="1"/>
        <rFont val="Adobe 仿宋 Std R"/>
        <charset val="134"/>
      </rPr>
      <t>霍奇金淋巴瘤</t>
    </r>
    <r>
      <rPr>
        <sz val="12"/>
        <color theme="1"/>
        <rFont val="Calibri Light"/>
        <charset val="134"/>
      </rPr>
      <t>_HL</t>
    </r>
  </si>
  <si>
    <r>
      <rPr>
        <sz val="12"/>
        <color theme="1"/>
        <rFont val="Calibri Light"/>
        <charset val="134"/>
      </rPr>
      <t>Kidney_Cancer_</t>
    </r>
    <r>
      <rPr>
        <sz val="12"/>
        <color theme="1"/>
        <rFont val="Adobe 仿宋 Std R"/>
        <charset val="134"/>
      </rPr>
      <t>肾癌</t>
    </r>
  </si>
  <si>
    <r>
      <rPr>
        <sz val="12"/>
        <color theme="1"/>
        <rFont val="Calibri Light"/>
        <charset val="134"/>
      </rPr>
      <t>Kidney_Chromophobe_</t>
    </r>
    <r>
      <rPr>
        <sz val="12"/>
        <color theme="1"/>
        <rFont val="Adobe 仿宋 Std R"/>
        <charset val="134"/>
      </rPr>
      <t>肾嫌色细胞癌</t>
    </r>
    <r>
      <rPr>
        <sz val="12"/>
        <color theme="1"/>
        <rFont val="Calibri Light"/>
        <charset val="134"/>
      </rPr>
      <t>_KICH</t>
    </r>
  </si>
  <si>
    <r>
      <rPr>
        <sz val="12"/>
        <color theme="1"/>
        <rFont val="Calibri Light"/>
        <charset val="134"/>
      </rPr>
      <t>Kidney_Re_l_Clear_Cell_Carcinoma_</t>
    </r>
    <r>
      <rPr>
        <sz val="12"/>
        <color theme="1"/>
        <rFont val="Adobe 仿宋 Std R"/>
        <charset val="134"/>
      </rPr>
      <t>肾透明细胞癌</t>
    </r>
    <r>
      <rPr>
        <sz val="12"/>
        <color theme="1"/>
        <rFont val="Calibri Light"/>
        <charset val="134"/>
      </rPr>
      <t>_KIRC</t>
    </r>
  </si>
  <si>
    <r>
      <rPr>
        <sz val="12"/>
        <color theme="1"/>
        <rFont val="Calibri Light"/>
        <charset val="134"/>
      </rPr>
      <t>Kidney_Re_l_Papillary_Cell_Carcinoma_</t>
    </r>
    <r>
      <rPr>
        <sz val="12"/>
        <color theme="1"/>
        <rFont val="Adobe 仿宋 Std R"/>
        <charset val="134"/>
      </rPr>
      <t>肾乳头细胞癌</t>
    </r>
    <r>
      <rPr>
        <sz val="12"/>
        <color theme="1"/>
        <rFont val="Calibri Light"/>
        <charset val="134"/>
      </rPr>
      <t>_KIRP</t>
    </r>
  </si>
  <si>
    <r>
      <rPr>
        <sz val="12"/>
        <color theme="1"/>
        <rFont val="Calibri Light"/>
        <charset val="134"/>
      </rPr>
      <t>Leukemia_</t>
    </r>
    <r>
      <rPr>
        <sz val="12"/>
        <color theme="1"/>
        <rFont val="Adobe 仿宋 Std R"/>
        <charset val="134"/>
      </rPr>
      <t>白血病</t>
    </r>
  </si>
  <si>
    <r>
      <rPr>
        <sz val="12"/>
        <color theme="1"/>
        <rFont val="Calibri Light"/>
        <charset val="134"/>
      </rPr>
      <t>Acute_Myeloid_Leukemia_</t>
    </r>
    <r>
      <rPr>
        <sz val="12"/>
        <color theme="1"/>
        <rFont val="Adobe 仿宋 Std R"/>
        <charset val="134"/>
      </rPr>
      <t>急性髓细胞样白血病</t>
    </r>
    <r>
      <rPr>
        <sz val="12"/>
        <color theme="1"/>
        <rFont val="Calibri Light"/>
        <charset val="134"/>
      </rPr>
      <t>_LAML</t>
    </r>
  </si>
  <si>
    <r>
      <rPr>
        <sz val="12"/>
        <color theme="1"/>
        <rFont val="Calibri Light"/>
        <charset val="134"/>
      </rPr>
      <t>Chronic_Myelogenous_Leukemia_</t>
    </r>
    <r>
      <rPr>
        <sz val="12"/>
        <color theme="1"/>
        <rFont val="Adobe 仿宋 Std R"/>
        <charset val="134"/>
      </rPr>
      <t>慢性髓细胞性白血病</t>
    </r>
    <r>
      <rPr>
        <sz val="12"/>
        <color theme="1"/>
        <rFont val="Calibri Light"/>
        <charset val="134"/>
      </rPr>
      <t>_LCML</t>
    </r>
  </si>
  <si>
    <r>
      <rPr>
        <sz val="12"/>
        <color theme="1"/>
        <rFont val="Calibri Light"/>
        <charset val="134"/>
      </rPr>
      <t>Liver_Hepatocellular_Carcinoma_</t>
    </r>
    <r>
      <rPr>
        <sz val="12"/>
        <color theme="1"/>
        <rFont val="Adobe 仿宋 Std R"/>
        <charset val="134"/>
      </rPr>
      <t>肝细胞肝癌</t>
    </r>
    <r>
      <rPr>
        <sz val="12"/>
        <color theme="1"/>
        <rFont val="Calibri Light"/>
        <charset val="134"/>
      </rPr>
      <t>_LIHC</t>
    </r>
  </si>
  <si>
    <r>
      <rPr>
        <sz val="12"/>
        <color theme="1"/>
        <rFont val="Calibri Light"/>
        <charset val="134"/>
      </rPr>
      <t>Melanoma_</t>
    </r>
    <r>
      <rPr>
        <sz val="12"/>
        <color theme="1"/>
        <rFont val="Adobe 仿宋 Std R"/>
        <charset val="134"/>
      </rPr>
      <t>黑色素瘤</t>
    </r>
  </si>
  <si>
    <r>
      <rPr>
        <sz val="12"/>
        <color rgb="FF000000"/>
        <rFont val="Calibri Light"/>
        <charset val="134"/>
      </rPr>
      <t>Skin_Cutaneous_Melanoma_</t>
    </r>
    <r>
      <rPr>
        <sz val="12"/>
        <color rgb="FF000000"/>
        <rFont val="Adobe 仿宋 Std R"/>
        <charset val="134"/>
      </rPr>
      <t>皮肤黑色素瘤</t>
    </r>
    <r>
      <rPr>
        <sz val="12"/>
        <color rgb="FF000000"/>
        <rFont val="Calibri Light"/>
        <charset val="134"/>
      </rPr>
      <t>_SKCM</t>
    </r>
  </si>
  <si>
    <r>
      <rPr>
        <sz val="12"/>
        <color theme="1"/>
        <rFont val="Calibri Light"/>
        <charset val="134"/>
      </rPr>
      <t>Mesothelioma_</t>
    </r>
    <r>
      <rPr>
        <sz val="12"/>
        <color theme="1"/>
        <rFont val="Adobe 仿宋 Std R"/>
        <charset val="134"/>
      </rPr>
      <t>间皮瘤</t>
    </r>
    <r>
      <rPr>
        <sz val="12"/>
        <color theme="1"/>
        <rFont val="Calibri Light"/>
        <charset val="134"/>
      </rPr>
      <t>_MESO</t>
    </r>
  </si>
  <si>
    <r>
      <rPr>
        <sz val="12"/>
        <color theme="1"/>
        <rFont val="Calibri Light"/>
        <charset val="134"/>
      </rPr>
      <t>Nasopharyngeal_Squamous_Cell_Carcinoma_</t>
    </r>
    <r>
      <rPr>
        <sz val="12"/>
        <color theme="1"/>
        <rFont val="Adobe 仿宋 Std R"/>
        <charset val="134"/>
      </rPr>
      <t>鼻咽鳞状细胞癌</t>
    </r>
    <r>
      <rPr>
        <sz val="12"/>
        <color theme="1"/>
        <rFont val="Calibri Light"/>
        <charset val="134"/>
      </rPr>
      <t>_NSCC</t>
    </r>
  </si>
  <si>
    <r>
      <rPr>
        <sz val="12"/>
        <color theme="1"/>
        <rFont val="Calibri Light"/>
        <charset val="134"/>
      </rPr>
      <t>Non_Hodgkin_Lymphoma_</t>
    </r>
    <r>
      <rPr>
        <sz val="12"/>
        <color theme="1"/>
        <rFont val="Adobe 仿宋 Std R"/>
        <charset val="134"/>
      </rPr>
      <t>非霍奇金淋巴瘤</t>
    </r>
    <r>
      <rPr>
        <sz val="12"/>
        <color theme="1"/>
        <rFont val="Calibri Light"/>
        <charset val="134"/>
      </rPr>
      <t>_NHL</t>
    </r>
  </si>
  <si>
    <r>
      <rPr>
        <sz val="12"/>
        <color theme="1"/>
        <rFont val="Calibri Light"/>
        <charset val="134"/>
      </rPr>
      <t>Diffuse_Large_B_cell_Lymphoma_</t>
    </r>
    <r>
      <rPr>
        <sz val="12"/>
        <color theme="1"/>
        <rFont val="Adobe 仿宋 Std R"/>
        <charset val="134"/>
      </rPr>
      <t>弥漫性大</t>
    </r>
    <r>
      <rPr>
        <sz val="12"/>
        <color theme="1"/>
        <rFont val="Calibri Light"/>
        <charset val="134"/>
      </rPr>
      <t>B</t>
    </r>
    <r>
      <rPr>
        <sz val="12"/>
        <color theme="1"/>
        <rFont val="Adobe 仿宋 Std R"/>
        <charset val="134"/>
      </rPr>
      <t>细胞淋巴瘤</t>
    </r>
    <r>
      <rPr>
        <sz val="12"/>
        <color theme="1"/>
        <rFont val="Calibri Light"/>
        <charset val="134"/>
      </rPr>
      <t>_DLBC</t>
    </r>
  </si>
  <si>
    <r>
      <rPr>
        <sz val="12"/>
        <color theme="1"/>
        <rFont val="Calibri Light"/>
        <charset val="134"/>
      </rPr>
      <t>Non_Small_Cell_Lung_Cancer_</t>
    </r>
    <r>
      <rPr>
        <sz val="12"/>
        <color theme="1"/>
        <rFont val="Adobe 仿宋 Std R"/>
        <charset val="134"/>
      </rPr>
      <t>非小细胞肺癌</t>
    </r>
    <r>
      <rPr>
        <sz val="12"/>
        <color theme="1"/>
        <rFont val="Calibri Light"/>
        <charset val="134"/>
      </rPr>
      <t>_NSCLC</t>
    </r>
  </si>
  <si>
    <r>
      <rPr>
        <sz val="12"/>
        <color theme="1"/>
        <rFont val="Calibri Light"/>
        <charset val="134"/>
      </rPr>
      <t>Lung_Adenocarcinoma_</t>
    </r>
    <r>
      <rPr>
        <sz val="12"/>
        <color theme="1"/>
        <rFont val="Adobe 仿宋 Std R"/>
        <charset val="134"/>
      </rPr>
      <t>肺腺癌</t>
    </r>
    <r>
      <rPr>
        <sz val="12"/>
        <color theme="1"/>
        <rFont val="Calibri Light"/>
        <charset val="134"/>
      </rPr>
      <t>_LUAD</t>
    </r>
  </si>
  <si>
    <r>
      <rPr>
        <sz val="12"/>
        <color theme="1"/>
        <rFont val="Calibri Light"/>
        <charset val="134"/>
      </rPr>
      <t>Lung_Squamous_Cell_Carcinoma_</t>
    </r>
    <r>
      <rPr>
        <sz val="12"/>
        <color theme="1"/>
        <rFont val="Adobe 仿宋 Std R"/>
        <charset val="134"/>
      </rPr>
      <t>肺鳞状细胞癌</t>
    </r>
    <r>
      <rPr>
        <sz val="12"/>
        <color theme="1"/>
        <rFont val="Calibri Light"/>
        <charset val="134"/>
      </rPr>
      <t>_LUSC</t>
    </r>
  </si>
  <si>
    <r>
      <rPr>
        <sz val="12"/>
        <color theme="1"/>
        <rFont val="Calibri Light"/>
        <charset val="134"/>
      </rPr>
      <t>Ovarian_Cancer_</t>
    </r>
    <r>
      <rPr>
        <sz val="12"/>
        <color theme="1"/>
        <rFont val="Adobe 仿宋 Std R"/>
        <charset val="134"/>
      </rPr>
      <t>卵巢癌</t>
    </r>
  </si>
  <si>
    <r>
      <rPr>
        <sz val="12"/>
        <color theme="1"/>
        <rFont val="Calibri Light"/>
        <charset val="134"/>
      </rPr>
      <t>Ovarian_Serous_Cystadenocarcinoma_</t>
    </r>
    <r>
      <rPr>
        <sz val="12"/>
        <color theme="1"/>
        <rFont val="Adobe 仿宋 Std R"/>
        <charset val="134"/>
      </rPr>
      <t>卵巢浆液性囊腺癌</t>
    </r>
    <r>
      <rPr>
        <sz val="12"/>
        <color theme="1"/>
        <rFont val="Calibri Light"/>
        <charset val="134"/>
      </rPr>
      <t>_OV</t>
    </r>
  </si>
  <si>
    <r>
      <rPr>
        <sz val="12"/>
        <color theme="1"/>
        <rFont val="Calibri Light"/>
        <charset val="134"/>
      </rPr>
      <t>Pancreatic_Cancer_</t>
    </r>
    <r>
      <rPr>
        <sz val="12"/>
        <color theme="1"/>
        <rFont val="Adobe 仿宋 Std R"/>
        <charset val="134"/>
      </rPr>
      <t>胰腺癌</t>
    </r>
  </si>
  <si>
    <r>
      <rPr>
        <sz val="12"/>
        <color theme="1"/>
        <rFont val="Calibri Light"/>
        <charset val="134"/>
      </rPr>
      <t>Pancreatic_Adenocarcinoma_</t>
    </r>
    <r>
      <rPr>
        <sz val="12"/>
        <color theme="1"/>
        <rFont val="Adobe 仿宋 Std R"/>
        <charset val="134"/>
      </rPr>
      <t>胰腺癌</t>
    </r>
    <r>
      <rPr>
        <sz val="12"/>
        <color theme="1"/>
        <rFont val="Calibri Light"/>
        <charset val="134"/>
      </rPr>
      <t>_PAAD</t>
    </r>
  </si>
  <si>
    <r>
      <rPr>
        <sz val="12"/>
        <color theme="1"/>
        <rFont val="Calibri Light"/>
        <charset val="134"/>
      </rPr>
      <t>Pheochromocytoma_and_Paraganglioma_</t>
    </r>
    <r>
      <rPr>
        <sz val="12"/>
        <color theme="1"/>
        <rFont val="Adobe 仿宋 Std R"/>
        <charset val="134"/>
      </rPr>
      <t>嗜铬细胞瘤与副神经节瘤</t>
    </r>
    <r>
      <rPr>
        <sz val="12"/>
        <color theme="1"/>
        <rFont val="Calibri Light"/>
        <charset val="134"/>
      </rPr>
      <t>_PCPG</t>
    </r>
  </si>
  <si>
    <r>
      <rPr>
        <sz val="12"/>
        <color theme="1"/>
        <rFont val="Calibri Light"/>
        <charset val="134"/>
      </rPr>
      <t>Prostate_Adenocarcinoma_</t>
    </r>
    <r>
      <rPr>
        <sz val="12"/>
        <color theme="1"/>
        <rFont val="Adobe 仿宋 Std R"/>
        <charset val="134"/>
      </rPr>
      <t>前列腺癌</t>
    </r>
    <r>
      <rPr>
        <sz val="12"/>
        <color theme="1"/>
        <rFont val="Calibri Light"/>
        <charset val="134"/>
      </rPr>
      <t>_PRAD</t>
    </r>
  </si>
  <si>
    <r>
      <rPr>
        <sz val="12"/>
        <color theme="1"/>
        <rFont val="Calibri Light"/>
        <charset val="134"/>
      </rPr>
      <t>Rectum_Cancer_</t>
    </r>
    <r>
      <rPr>
        <sz val="12"/>
        <color theme="1"/>
        <rFont val="Adobe 仿宋 Std R"/>
        <charset val="134"/>
      </rPr>
      <t>直肠癌</t>
    </r>
  </si>
  <si>
    <r>
      <rPr>
        <sz val="12"/>
        <color theme="1"/>
        <rFont val="Calibri Light"/>
        <charset val="134"/>
      </rPr>
      <t>Rectum_Adenocarcinoma_</t>
    </r>
    <r>
      <rPr>
        <sz val="12"/>
        <color theme="1"/>
        <rFont val="Adobe 仿宋 Std R"/>
        <charset val="134"/>
      </rPr>
      <t>直肠腺癌</t>
    </r>
    <r>
      <rPr>
        <sz val="12"/>
        <color theme="1"/>
        <rFont val="Calibri Light"/>
        <charset val="134"/>
      </rPr>
      <t>_READ</t>
    </r>
  </si>
  <si>
    <r>
      <rPr>
        <sz val="12"/>
        <color theme="1"/>
        <rFont val="Calibri Light"/>
        <charset val="134"/>
      </rPr>
      <t>Sarcoma_</t>
    </r>
    <r>
      <rPr>
        <sz val="12"/>
        <color theme="1"/>
        <rFont val="Adobe 仿宋 Std R"/>
        <charset val="134"/>
      </rPr>
      <t>肉瘤</t>
    </r>
    <r>
      <rPr>
        <sz val="12"/>
        <color theme="1"/>
        <rFont val="Calibri Light"/>
        <charset val="134"/>
      </rPr>
      <t>_SARC</t>
    </r>
  </si>
  <si>
    <r>
      <rPr>
        <sz val="12"/>
        <color theme="1"/>
        <rFont val="Calibri Light"/>
        <charset val="134"/>
      </rPr>
      <t>Skin_Malignancy_</t>
    </r>
    <r>
      <rPr>
        <sz val="12"/>
        <color theme="1"/>
        <rFont val="Adobe 仿宋 Std R"/>
        <charset val="134"/>
      </rPr>
      <t>皮肤恶性肿瘤</t>
    </r>
  </si>
  <si>
    <r>
      <rPr>
        <sz val="12"/>
        <color theme="1"/>
        <rFont val="Calibri Light"/>
        <charset val="134"/>
      </rPr>
      <t>Skin_Squamous_cell_carcinoma_</t>
    </r>
    <r>
      <rPr>
        <sz val="12"/>
        <color theme="1"/>
        <rFont val="Adobe 仿宋 Std R"/>
        <charset val="134"/>
      </rPr>
      <t>皮肤鳞状细胞癌</t>
    </r>
    <r>
      <rPr>
        <sz val="12"/>
        <color theme="1"/>
        <rFont val="Calibri Light"/>
        <charset val="134"/>
      </rPr>
      <t>_SSCC</t>
    </r>
  </si>
  <si>
    <r>
      <rPr>
        <sz val="12"/>
        <color theme="1"/>
        <rFont val="Calibri Light"/>
        <charset val="134"/>
      </rPr>
      <t>Skin_Basal_cell_carcinoma_</t>
    </r>
    <r>
      <rPr>
        <sz val="12"/>
        <color theme="1"/>
        <rFont val="Adobe 仿宋 Std R"/>
        <charset val="134"/>
      </rPr>
      <t>皮肤基底细胞癌</t>
    </r>
    <r>
      <rPr>
        <sz val="12"/>
        <color theme="1"/>
        <rFont val="Calibri Light"/>
        <charset val="134"/>
      </rPr>
      <t>_SBCC</t>
    </r>
  </si>
  <si>
    <r>
      <rPr>
        <sz val="12"/>
        <color theme="1"/>
        <rFont val="Calibri Light"/>
        <charset val="134"/>
      </rPr>
      <t>Small_Cell_Lung_Cancer_</t>
    </r>
    <r>
      <rPr>
        <sz val="12"/>
        <color theme="1"/>
        <rFont val="Adobe 仿宋 Std R"/>
        <charset val="134"/>
      </rPr>
      <t>小细胞肺癌</t>
    </r>
    <r>
      <rPr>
        <sz val="12"/>
        <color theme="1"/>
        <rFont val="Calibri Light"/>
        <charset val="134"/>
      </rPr>
      <t>_SCLC</t>
    </r>
  </si>
  <si>
    <r>
      <rPr>
        <sz val="12"/>
        <color theme="1"/>
        <rFont val="Calibri Light"/>
        <charset val="134"/>
      </rPr>
      <t>Stomach_Cancer_</t>
    </r>
    <r>
      <rPr>
        <sz val="12"/>
        <color theme="1"/>
        <rFont val="Adobe 仿宋 Std R"/>
        <charset val="134"/>
      </rPr>
      <t>胃癌</t>
    </r>
  </si>
  <si>
    <r>
      <rPr>
        <sz val="12"/>
        <color theme="1"/>
        <rFont val="Calibri Light"/>
        <charset val="134"/>
      </rPr>
      <t>Stomach_Adenocarcinoma_</t>
    </r>
    <r>
      <rPr>
        <sz val="12"/>
        <color theme="1"/>
        <rFont val="Adobe 仿宋 Std R"/>
        <charset val="134"/>
      </rPr>
      <t>胃腺癌</t>
    </r>
    <r>
      <rPr>
        <sz val="12"/>
        <color theme="1"/>
        <rFont val="Calibri Light"/>
        <charset val="134"/>
      </rPr>
      <t>_STAD</t>
    </r>
  </si>
  <si>
    <r>
      <rPr>
        <sz val="12"/>
        <color theme="1"/>
        <rFont val="Calibri Light"/>
        <charset val="134"/>
      </rPr>
      <t>Testicular_Germ_Cell_Tumors_</t>
    </r>
    <r>
      <rPr>
        <sz val="12"/>
        <color theme="1"/>
        <rFont val="Adobe 仿宋 Std R"/>
        <charset val="134"/>
      </rPr>
      <t>睾丸生殖细胞瘤</t>
    </r>
    <r>
      <rPr>
        <sz val="12"/>
        <color theme="1"/>
        <rFont val="Calibri Light"/>
        <charset val="134"/>
      </rPr>
      <t>_TGCT</t>
    </r>
  </si>
  <si>
    <r>
      <rPr>
        <sz val="12"/>
        <color theme="1"/>
        <rFont val="Calibri Light"/>
        <charset val="134"/>
      </rPr>
      <t>Thymoma_</t>
    </r>
    <r>
      <rPr>
        <sz val="12"/>
        <color theme="1"/>
        <rFont val="Adobe 仿宋 Std R"/>
        <charset val="134"/>
      </rPr>
      <t>胸腺瘤</t>
    </r>
    <r>
      <rPr>
        <sz val="12"/>
        <color theme="1"/>
        <rFont val="Calibri Light"/>
        <charset val="134"/>
      </rPr>
      <t>_THYM</t>
    </r>
  </si>
  <si>
    <r>
      <rPr>
        <sz val="12"/>
        <color theme="1"/>
        <rFont val="Calibri Light"/>
        <charset val="134"/>
      </rPr>
      <t>Thyroid_Carcinoma_</t>
    </r>
    <r>
      <rPr>
        <sz val="12"/>
        <color theme="1"/>
        <rFont val="Adobe 仿宋 Std R"/>
        <charset val="134"/>
      </rPr>
      <t>甲状腺癌</t>
    </r>
    <r>
      <rPr>
        <sz val="12"/>
        <color theme="1"/>
        <rFont val="Calibri Light"/>
        <charset val="134"/>
      </rPr>
      <t>_THCA</t>
    </r>
  </si>
  <si>
    <r>
      <rPr>
        <sz val="12"/>
        <color theme="1"/>
        <rFont val="Calibri Light"/>
        <charset val="134"/>
      </rPr>
      <t>Uterine_Carcinosarcoma_</t>
    </r>
    <r>
      <rPr>
        <sz val="12"/>
        <color theme="1"/>
        <rFont val="Adobe 仿宋 Std R"/>
        <charset val="134"/>
      </rPr>
      <t>子宫癌肉瘤</t>
    </r>
    <r>
      <rPr>
        <sz val="12"/>
        <color theme="1"/>
        <rFont val="Calibri Light"/>
        <charset val="134"/>
      </rPr>
      <t>_UCS</t>
    </r>
  </si>
  <si>
    <r>
      <rPr>
        <sz val="12"/>
        <color theme="1"/>
        <rFont val="Calibri Light"/>
        <charset val="134"/>
      </rPr>
      <t>Uterine_Corpus_Endometrial_Carcinoma_</t>
    </r>
    <r>
      <rPr>
        <sz val="12"/>
        <color theme="1"/>
        <rFont val="Adobe 仿宋 Std R"/>
        <charset val="134"/>
      </rPr>
      <t>子宫内膜癌</t>
    </r>
    <r>
      <rPr>
        <sz val="12"/>
        <color theme="1"/>
        <rFont val="Calibri Light"/>
        <charset val="134"/>
      </rPr>
      <t>_UCEC</t>
    </r>
  </si>
  <si>
    <r>
      <rPr>
        <sz val="12"/>
        <color theme="1"/>
        <rFont val="Calibri Light"/>
        <charset val="134"/>
      </rPr>
      <t>Uveal_Melanoma_</t>
    </r>
    <r>
      <rPr>
        <sz val="12"/>
        <color theme="1"/>
        <rFont val="Adobe 仿宋 Std R"/>
        <charset val="134"/>
      </rPr>
      <t>葡萄膜黑色素瘤</t>
    </r>
    <r>
      <rPr>
        <sz val="12"/>
        <color theme="1"/>
        <rFont val="Calibri Light"/>
        <charset val="134"/>
      </rPr>
      <t>_UVM</t>
    </r>
  </si>
  <si>
    <t>animal_model</t>
  </si>
  <si>
    <t>human_tissue</t>
  </si>
  <si>
    <r>
      <rPr>
        <sz val="12"/>
        <color theme="1"/>
        <rFont val="Calibri Light"/>
        <charset val="134"/>
      </rPr>
      <t xml:space="preserve">2.1 </t>
    </r>
    <r>
      <rPr>
        <sz val="12"/>
        <color theme="1"/>
        <rFont val="Adobe 仿宋 Std R"/>
        <charset val="134"/>
      </rPr>
      <t>辐射</t>
    </r>
  </si>
  <si>
    <t>α ray (α particles)</t>
  </si>
  <si>
    <t>β ray (β particles)</t>
  </si>
  <si>
    <t>Electron beam</t>
  </si>
  <si>
    <t>Proton beam</t>
  </si>
  <si>
    <t>Neutron beam</t>
  </si>
  <si>
    <t>Heavy ion beam</t>
  </si>
  <si>
    <r>
      <rPr>
        <sz val="12"/>
        <color theme="1"/>
        <rFont val="Calibri Light"/>
        <charset val="134"/>
      </rPr>
      <t>Radioisotope[</t>
    </r>
    <r>
      <rPr>
        <sz val="12"/>
        <color theme="1"/>
        <rFont val="Adobe 仿宋 Std R"/>
        <charset val="134"/>
      </rPr>
      <t>选填</t>
    </r>
    <r>
      <rPr>
        <sz val="12"/>
        <color theme="1"/>
        <rFont val="Calibri Light"/>
        <charset val="134"/>
      </rPr>
      <t>]</t>
    </r>
  </si>
  <si>
    <r>
      <rPr>
        <sz val="12"/>
        <color theme="1"/>
        <rFont val="Calibri Light"/>
        <charset val="134"/>
      </rPr>
      <t>others[</t>
    </r>
    <r>
      <rPr>
        <sz val="12"/>
        <color theme="1"/>
        <rFont val="Adobe 仿宋 Std R"/>
        <charset val="134"/>
      </rPr>
      <t>选填</t>
    </r>
    <r>
      <rPr>
        <sz val="12"/>
        <color theme="1"/>
        <rFont val="Calibri Light"/>
        <charset val="134"/>
      </rPr>
      <t>]</t>
    </r>
  </si>
  <si>
    <t>Conventional fractionation</t>
  </si>
  <si>
    <t>Accelerated fractionation</t>
  </si>
  <si>
    <t>Hypofractionation</t>
  </si>
  <si>
    <t>Hyperfractionation</t>
  </si>
  <si>
    <t>Accelerated hyperfractionation</t>
  </si>
  <si>
    <r>
      <rPr>
        <sz val="12"/>
        <color theme="1"/>
        <rFont val="Calibri Light"/>
        <charset val="134"/>
      </rPr>
      <t xml:space="preserve">2.2 </t>
    </r>
    <r>
      <rPr>
        <sz val="12"/>
        <color theme="1"/>
        <rFont val="Adobe 仿宋 Std R"/>
        <charset val="134"/>
      </rPr>
      <t>是否同时存在分子生物学干预或暴露因素</t>
    </r>
  </si>
  <si>
    <r>
      <rPr>
        <sz val="12"/>
        <color theme="1"/>
        <rFont val="Calibri Light"/>
        <charset val="134"/>
      </rPr>
      <t xml:space="preserve">2.2 </t>
    </r>
    <r>
      <rPr>
        <sz val="12"/>
        <color theme="1"/>
        <rFont val="Adobe 仿宋 Std R"/>
        <charset val="134"/>
      </rPr>
      <t>改变类型</t>
    </r>
  </si>
  <si>
    <t>protein_level</t>
  </si>
  <si>
    <t>non_coding_RNA_level</t>
  </si>
  <si>
    <t>somatic_mutation</t>
  </si>
  <si>
    <r>
      <rPr>
        <sz val="12"/>
        <color theme="1"/>
        <rFont val="Calibri Light"/>
        <charset val="134"/>
      </rPr>
      <t xml:space="preserve">2.4 </t>
    </r>
    <r>
      <rPr>
        <sz val="12"/>
        <color theme="1"/>
        <rFont val="Adobe 仿宋 Std R"/>
        <charset val="134"/>
      </rPr>
      <t>基因名称及</t>
    </r>
    <r>
      <rPr>
        <sz val="12"/>
        <color theme="1"/>
        <rFont val="Calibri Light"/>
        <charset val="134"/>
      </rPr>
      <t>ID</t>
    </r>
  </si>
  <si>
    <r>
      <rPr>
        <sz val="12"/>
        <color theme="1"/>
        <rFont val="Calibri Light"/>
        <charset val="134"/>
      </rPr>
      <t xml:space="preserve">2.5 </t>
    </r>
    <r>
      <rPr>
        <sz val="12"/>
        <color theme="1"/>
        <rFont val="Adobe 仿宋 Std R"/>
        <charset val="134"/>
      </rPr>
      <t>改变结果</t>
    </r>
  </si>
  <si>
    <t>no change</t>
  </si>
  <si>
    <t>up</t>
  </si>
  <si>
    <t>down</t>
  </si>
  <si>
    <r>
      <rPr>
        <sz val="12"/>
        <color theme="1"/>
        <rFont val="Calibri Light"/>
        <charset val="134"/>
      </rPr>
      <t xml:space="preserve">2.3.1 </t>
    </r>
    <r>
      <rPr>
        <sz val="12"/>
        <color theme="1"/>
        <rFont val="Adobe 仿宋 Std R"/>
        <charset val="134"/>
      </rPr>
      <t>暴露因素的类型</t>
    </r>
  </si>
  <si>
    <t>biological exposure</t>
  </si>
  <si>
    <t>physical exposure</t>
  </si>
</sst>
</file>

<file path=xl/styles.xml><?xml version="1.0" encoding="utf-8"?>
<styleSheet xmlns="http://schemas.openxmlformats.org/spreadsheetml/2006/main">
  <numFmts count="5">
    <numFmt numFmtId="43" formatCode="_ * #,##0.00_ ;_ * \-#,##0.00_ ;_ 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176" formatCode="0_);[Red]\(0\)"/>
  </numFmts>
  <fonts count="26">
    <font>
      <sz val="12"/>
      <color theme="1"/>
      <name val="等线"/>
      <charset val="134"/>
      <scheme val="minor"/>
    </font>
    <font>
      <sz val="12"/>
      <color theme="1"/>
      <name val="Calibri Light"/>
      <charset val="134"/>
    </font>
    <font>
      <sz val="12"/>
      <color rgb="FF000000"/>
      <name val="Calibri Light"/>
      <charset val="134"/>
    </font>
    <font>
      <sz val="12"/>
      <color theme="1"/>
      <name val="宋体"/>
      <charset val="134"/>
    </font>
    <font>
      <sz val="12"/>
      <color theme="1"/>
      <name val="Adobe 仿宋 Std R"/>
      <charset val="134"/>
    </font>
    <font>
      <b/>
      <sz val="11"/>
      <color theme="1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theme="1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0006"/>
      <name val="等线"/>
      <charset val="0"/>
      <scheme val="minor"/>
    </font>
    <font>
      <i/>
      <sz val="11"/>
      <color rgb="FF7F7F7F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theme="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sz val="12"/>
      <color rgb="FF000000"/>
      <name val="Adobe 仿宋 Std R"/>
      <charset val="134"/>
    </font>
  </fonts>
  <fills count="33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1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</borders>
  <cellStyleXfs count="49">
    <xf numFmtId="0" fontId="0" fillId="0" borderId="0">
      <alignment vertical="center"/>
    </xf>
    <xf numFmtId="42" fontId="8" fillId="0" borderId="0" applyFont="0" applyFill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7" fillId="3" borderId="15" applyNumberFormat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8" fillId="6" borderId="16" applyNumberFormat="0" applyFont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23" fillId="0" borderId="20" applyNumberFormat="0" applyFill="0" applyAlignment="0" applyProtection="0">
      <alignment vertical="center"/>
    </xf>
    <xf numFmtId="0" fontId="24" fillId="0" borderId="20" applyNumberFormat="0" applyFill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4" fillId="0" borderId="17" applyNumberFormat="0" applyFill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6" fillId="2" borderId="14" applyNumberFormat="0" applyAlignment="0" applyProtection="0">
      <alignment vertical="center"/>
    </xf>
    <xf numFmtId="0" fontId="17" fillId="2" borderId="15" applyNumberFormat="0" applyAlignment="0" applyProtection="0">
      <alignment vertical="center"/>
    </xf>
    <xf numFmtId="0" fontId="16" fillId="13" borderId="18" applyNumberFormat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9" fillId="0" borderId="19" applyNumberFormat="0" applyFill="0" applyAlignment="0" applyProtection="0">
      <alignment vertical="center"/>
    </xf>
    <xf numFmtId="0" fontId="5" fillId="0" borderId="13" applyNumberFormat="0" applyFill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</cellStyleXfs>
  <cellXfs count="51">
    <xf numFmtId="0" fontId="0" fillId="0" borderId="0" xfId="0">
      <alignment vertical="center"/>
    </xf>
    <xf numFmtId="0" fontId="0" fillId="0" borderId="0" xfId="0" applyAlignment="1">
      <alignment horizontal="left" vertical="top"/>
    </xf>
    <xf numFmtId="49" fontId="0" fillId="0" borderId="0" xfId="0" applyNumberFormat="1" applyAlignment="1">
      <alignment horizontal="left" vertical="top"/>
    </xf>
    <xf numFmtId="22" fontId="0" fillId="0" borderId="0" xfId="0" applyNumberFormat="1" applyAlignment="1">
      <alignment horizontal="left" vertical="top"/>
    </xf>
    <xf numFmtId="0" fontId="1" fillId="0" borderId="0" xfId="0" applyFont="1">
      <alignment vertical="center"/>
    </xf>
    <xf numFmtId="0" fontId="1" fillId="0" borderId="0" xfId="0" applyFont="1" applyBorder="1">
      <alignment vertical="center"/>
    </xf>
    <xf numFmtId="0" fontId="1" fillId="0" borderId="1" xfId="0" applyFont="1" applyBorder="1">
      <alignment vertical="center"/>
    </xf>
    <xf numFmtId="0" fontId="1" fillId="0" borderId="2" xfId="0" applyFont="1" applyBorder="1">
      <alignment vertical="center"/>
    </xf>
    <xf numFmtId="0" fontId="1" fillId="0" borderId="3" xfId="0" applyFont="1" applyBorder="1">
      <alignment vertical="center"/>
    </xf>
    <xf numFmtId="0" fontId="1" fillId="0" borderId="4" xfId="0" applyFont="1" applyBorder="1">
      <alignment vertical="center"/>
    </xf>
    <xf numFmtId="0" fontId="1" fillId="0" borderId="5" xfId="0" applyFont="1" applyBorder="1">
      <alignment vertical="center"/>
    </xf>
    <xf numFmtId="0" fontId="2" fillId="0" borderId="0" xfId="0" applyFont="1" applyBorder="1">
      <alignment vertical="center"/>
    </xf>
    <xf numFmtId="0" fontId="1" fillId="0" borderId="6" xfId="0" applyFont="1" applyBorder="1">
      <alignment vertical="center"/>
    </xf>
    <xf numFmtId="0" fontId="1" fillId="0" borderId="7" xfId="0" applyFont="1" applyBorder="1">
      <alignment vertical="center"/>
    </xf>
    <xf numFmtId="0" fontId="1" fillId="0" borderId="8" xfId="0" applyFont="1" applyBorder="1">
      <alignment vertical="center"/>
    </xf>
    <xf numFmtId="0" fontId="1" fillId="0" borderId="9" xfId="0" applyFont="1" applyBorder="1">
      <alignment vertical="center"/>
    </xf>
    <xf numFmtId="0" fontId="1" fillId="0" borderId="10" xfId="0" applyFont="1" applyBorder="1">
      <alignment vertical="center"/>
    </xf>
    <xf numFmtId="0" fontId="1" fillId="0" borderId="11" xfId="0" applyFont="1" applyBorder="1">
      <alignment vertical="center"/>
    </xf>
    <xf numFmtId="0" fontId="1" fillId="0" borderId="12" xfId="0" applyFont="1" applyBorder="1">
      <alignment vertical="center"/>
    </xf>
    <xf numFmtId="176" fontId="0" fillId="0" borderId="0" xfId="0" applyNumberFormat="1">
      <alignment vertical="center"/>
    </xf>
    <xf numFmtId="0" fontId="1" fillId="0" borderId="0" xfId="0" applyFont="1" applyBorder="1" applyProtection="1">
      <alignment vertical="center"/>
      <protection hidden="1"/>
    </xf>
    <xf numFmtId="0" fontId="1" fillId="0" borderId="0" xfId="0" applyFont="1" applyBorder="1" applyAlignment="1" applyProtection="1">
      <alignment vertical="center" wrapText="1"/>
      <protection hidden="1"/>
    </xf>
    <xf numFmtId="0" fontId="1" fillId="0" borderId="0" xfId="0" applyFont="1" applyBorder="1" applyAlignment="1" applyProtection="1">
      <alignment horizontal="left" vertical="center" indent="1"/>
      <protection hidden="1"/>
    </xf>
    <xf numFmtId="0" fontId="0" fillId="0" borderId="0" xfId="0" applyNumberFormat="1" applyAlignment="1">
      <alignment horizontal="left" vertical="top"/>
    </xf>
    <xf numFmtId="176" fontId="1" fillId="0" borderId="0" xfId="0" applyNumberFormat="1" applyFont="1" applyBorder="1" applyAlignment="1" applyProtection="1">
      <alignment horizontal="left" vertical="center"/>
      <protection hidden="1"/>
    </xf>
    <xf numFmtId="49" fontId="1" fillId="0" borderId="0" xfId="0" applyNumberFormat="1" applyFont="1" applyBorder="1" applyAlignment="1" applyProtection="1">
      <alignment horizontal="left" vertical="top" wrapText="1"/>
      <protection hidden="1"/>
    </xf>
    <xf numFmtId="49" fontId="1" fillId="0" borderId="0" xfId="0" applyNumberFormat="1" applyFont="1" applyBorder="1" applyAlignment="1" applyProtection="1">
      <alignment horizontal="left" vertical="center"/>
      <protection hidden="1"/>
    </xf>
    <xf numFmtId="176" fontId="0" fillId="0" borderId="0" xfId="0" applyNumberFormat="1" applyAlignment="1">
      <alignment horizontal="left" vertical="top"/>
    </xf>
    <xf numFmtId="176" fontId="1" fillId="0" borderId="0" xfId="0" applyNumberFormat="1" applyFont="1" applyBorder="1" applyAlignment="1" applyProtection="1">
      <alignment horizontal="left" vertical="top" wrapText="1"/>
      <protection hidden="1"/>
    </xf>
    <xf numFmtId="176" fontId="1" fillId="0" borderId="0" xfId="0" applyNumberFormat="1" applyFont="1" applyBorder="1" applyAlignment="1" applyProtection="1">
      <alignment horizontal="left" vertical="top"/>
      <protection hidden="1"/>
    </xf>
    <xf numFmtId="49" fontId="1" fillId="0" borderId="0" xfId="0" applyNumberFormat="1" applyFont="1" applyBorder="1" applyAlignment="1" applyProtection="1">
      <alignment horizontal="left" vertical="top"/>
      <protection hidden="1"/>
    </xf>
    <xf numFmtId="0" fontId="1" fillId="0" borderId="0" xfId="0" applyFont="1" applyBorder="1" applyAlignment="1" applyProtection="1">
      <alignment horizontal="left" vertical="top"/>
      <protection hidden="1"/>
    </xf>
    <xf numFmtId="22" fontId="1" fillId="0" borderId="0" xfId="0" applyNumberFormat="1" applyFont="1" applyBorder="1" applyAlignment="1" applyProtection="1">
      <alignment horizontal="left" vertical="center"/>
      <protection hidden="1"/>
    </xf>
    <xf numFmtId="176" fontId="1" fillId="0" borderId="0" xfId="0" applyNumberFormat="1" applyFont="1" applyBorder="1" applyProtection="1">
      <alignment vertical="center"/>
      <protection hidden="1"/>
    </xf>
    <xf numFmtId="0" fontId="1" fillId="0" borderId="0" xfId="0" applyFont="1" applyBorder="1" applyAlignment="1" applyProtection="1">
      <alignment horizontal="left" vertical="center"/>
      <protection hidden="1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horizontal="left" vertical="top"/>
    </xf>
    <xf numFmtId="0" fontId="1" fillId="0" borderId="0" xfId="0" applyFont="1" applyAlignment="1">
      <alignment horizontal="left" vertical="center"/>
    </xf>
    <xf numFmtId="0" fontId="1" fillId="0" borderId="4" xfId="0" applyFont="1" applyBorder="1" applyAlignment="1" applyProtection="1">
      <alignment horizontal="center" vertical="center" wrapText="1"/>
      <protection hidden="1"/>
    </xf>
    <xf numFmtId="49" fontId="1" fillId="0" borderId="0" xfId="0" applyNumberFormat="1" applyFont="1" applyBorder="1" applyAlignment="1" applyProtection="1">
      <alignment horizontal="left" vertical="top" wrapText="1"/>
      <protection locked="0"/>
    </xf>
    <xf numFmtId="49" fontId="1" fillId="0" borderId="0" xfId="0" applyNumberFormat="1" applyFont="1" applyAlignment="1">
      <alignment horizontal="left" vertical="top" wrapText="1"/>
    </xf>
    <xf numFmtId="49" fontId="1" fillId="0" borderId="0" xfId="0" applyNumberFormat="1" applyFont="1" applyBorder="1" applyAlignment="1" applyProtection="1">
      <alignment horizontal="left" vertical="center"/>
      <protection locked="0"/>
    </xf>
    <xf numFmtId="49" fontId="1" fillId="0" borderId="0" xfId="0" applyNumberFormat="1" applyFont="1">
      <alignment vertical="center"/>
    </xf>
    <xf numFmtId="0" fontId="1" fillId="0" borderId="0" xfId="0" applyFont="1" applyBorder="1" applyAlignment="1" applyProtection="1">
      <alignment horizontal="left" vertical="center" wrapText="1"/>
      <protection hidden="1"/>
    </xf>
    <xf numFmtId="49" fontId="3" fillId="0" borderId="0" xfId="0" applyNumberFormat="1" applyFont="1" applyBorder="1" applyAlignment="1" applyProtection="1">
      <alignment horizontal="left" vertical="center"/>
      <protection locked="0"/>
    </xf>
    <xf numFmtId="0" fontId="1" fillId="0" borderId="4" xfId="0" applyFont="1" applyBorder="1" applyAlignment="1" applyProtection="1">
      <alignment vertical="center" wrapText="1"/>
      <protection hidden="1"/>
    </xf>
    <xf numFmtId="0" fontId="4" fillId="0" borderId="4" xfId="0" applyFont="1" applyBorder="1" applyAlignment="1" applyProtection="1">
      <alignment horizontal="center" vertical="center" wrapText="1"/>
      <protection hidden="1"/>
    </xf>
    <xf numFmtId="49" fontId="1" fillId="0" borderId="0" xfId="0" applyNumberFormat="1" applyFont="1" applyAlignment="1">
      <alignment horizontal="left" vertical="top"/>
    </xf>
    <xf numFmtId="22" fontId="1" fillId="0" borderId="0" xfId="0" applyNumberFormat="1" applyFont="1" applyBorder="1" applyAlignment="1" applyProtection="1">
      <alignment horizontal="left" vertical="center"/>
      <protection locked="0"/>
    </xf>
    <xf numFmtId="22" fontId="1" fillId="0" borderId="0" xfId="0" applyNumberFormat="1" applyFont="1" applyAlignment="1">
      <alignment horizontal="left" vertical="center"/>
    </xf>
    <xf numFmtId="0" fontId="1" fillId="0" borderId="0" xfId="0" applyFont="1" applyBorder="1" applyAlignment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r:id="rId1" ax:persistence="persistStreamInit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r:id="rId1" ax:persistence="persistStreamInit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r:id="rId1" ax:persistence="persistStreamInit"/>
</file>

<file path=xl/activeX/activeX11.xml><?xml version="1.0" encoding="utf-8"?>
<ax:ocx xmlns:ax="http://schemas.microsoft.com/office/2006/activeX" xmlns:r="http://schemas.openxmlformats.org/officeDocument/2006/relationships" ax:classid="{8BD21D60-EC42-11CE-9E0D-00AA006002F3}" r:id="rId1" ax:persistence="persistStreamInit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5.xml><?xml version="1.0" encoding="utf-8"?>
<ax:ocx xmlns:ax="http://schemas.microsoft.com/office/2006/activeX" xmlns:r="http://schemas.openxmlformats.org/officeDocument/2006/relationships" ax:classid="{8BD21D60-EC42-11CE-9E0D-00AA006002F3}" r:id="rId1" ax:persistence="persistStreamInit"/>
</file>

<file path=xl/activeX/activeX16.xml><?xml version="1.0" encoding="utf-8"?>
<ax:ocx xmlns:ax="http://schemas.microsoft.com/office/2006/activeX" xmlns:r="http://schemas.openxmlformats.org/officeDocument/2006/relationships" ax:classid="{8BD21D60-EC42-11CE-9E0D-00AA006002F3}" r:id="rId1" ax:persistence="persistStreamInit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0.xml><?xml version="1.0" encoding="utf-8"?>
<ax:ocx xmlns:ax="http://schemas.microsoft.com/office/2006/activeX" xmlns:r="http://schemas.openxmlformats.org/officeDocument/2006/relationships" ax:classid="{8BD21D60-EC42-11CE-9E0D-00AA006002F3}" r:id="rId1" ax:persistence="persistStreamInit"/>
</file>

<file path=xl/activeX/activeX21.xml><?xml version="1.0" encoding="utf-8"?>
<ax:ocx xmlns:ax="http://schemas.microsoft.com/office/2006/activeX" xmlns:r="http://schemas.openxmlformats.org/officeDocument/2006/relationships" ax:classid="{8BD21D60-EC42-11CE-9E0D-00AA006002F3}" r:id="rId1" ax:persistence="persistStreamInit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5.xml><?xml version="1.0" encoding="utf-8"?>
<ax:ocx xmlns:ax="http://schemas.microsoft.com/office/2006/activeX" xmlns:r="http://schemas.openxmlformats.org/officeDocument/2006/relationships" ax:classid="{8BD21D60-EC42-11CE-9E0D-00AA006002F3}" r:id="rId1" ax:persistence="persistStreamInit"/>
</file>

<file path=xl/activeX/activeX26.xml><?xml version="1.0" encoding="utf-8"?>
<ax:ocx xmlns:ax="http://schemas.microsoft.com/office/2006/activeX" xmlns:r="http://schemas.openxmlformats.org/officeDocument/2006/relationships" ax:classid="{8BD21D60-EC42-11CE-9E0D-00AA006002F3}" r:id="rId1" ax:persistence="persistStreamInit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9.xml><?xml version="1.0" encoding="utf-8"?>
<ax:ocx xmlns:ax="http://schemas.microsoft.com/office/2006/activeX" xmlns:r="http://schemas.openxmlformats.org/officeDocument/2006/relationships" ax:classid="{8BD21D60-EC42-11CE-9E0D-00AA006002F3}" r:id="rId1" ax:persistence="persistStreamInit"/>
</file>

<file path=xl/activeX/activeX30.xml><?xml version="1.0" encoding="utf-8"?>
<ax:ocx xmlns:ax="http://schemas.microsoft.com/office/2006/activeX" xmlns:r="http://schemas.openxmlformats.org/officeDocument/2006/relationships" ax:classid="{8BD21D60-EC42-11CE-9E0D-00AA006002F3}" r:id="rId1" ax:persistence="persistStreamInit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5.xml><?xml version="1.0" encoding="utf-8"?>
<ax:ocx xmlns:ax="http://schemas.microsoft.com/office/2006/activeX" xmlns:r="http://schemas.openxmlformats.org/officeDocument/2006/relationships" ax:classid="{8BD21D60-EC42-11CE-9E0D-00AA006002F3}" r:id="rId1" ax:persistence="persistStreamInit"/>
</file>

<file path=xl/activeX/activeX36.xml><?xml version="1.0" encoding="utf-8"?>
<ax:ocx xmlns:ax="http://schemas.microsoft.com/office/2006/activeX" xmlns:r="http://schemas.openxmlformats.org/officeDocument/2006/relationships" ax:classid="{8BD21D60-EC42-11CE-9E0D-00AA006002F3}" r:id="rId1" ax:persistence="persistStreamInit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40.xml><?xml version="1.0" encoding="utf-8"?>
<ax:ocx xmlns:ax="http://schemas.microsoft.com/office/2006/activeX" xmlns:r="http://schemas.openxmlformats.org/officeDocument/2006/relationships" ax:classid="{8BD21D60-EC42-11CE-9E0D-00AA006002F3}" r:id="rId1" ax:persistence="persistStreamInit"/>
</file>

<file path=xl/activeX/activeX41.xml><?xml version="1.0" encoding="utf-8"?>
<ax:ocx xmlns:ax="http://schemas.microsoft.com/office/2006/activeX" xmlns:r="http://schemas.openxmlformats.org/officeDocument/2006/relationships" ax:classid="{8BD21D60-EC42-11CE-9E0D-00AA006002F3}" r:id="rId1" ax:persistence="persistStreamInit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45.xml><?xml version="1.0" encoding="utf-8"?>
<ax:ocx xmlns:ax="http://schemas.microsoft.com/office/2006/activeX" xmlns:r="http://schemas.openxmlformats.org/officeDocument/2006/relationships" ax:classid="{8BD21D60-EC42-11CE-9E0D-00AA006002F3}" r:id="rId1" ax:persistence="persistStreamInit"/>
</file>

<file path=xl/activeX/activeX46.xml><?xml version="1.0" encoding="utf-8"?>
<ax:ocx xmlns:ax="http://schemas.microsoft.com/office/2006/activeX" xmlns:r="http://schemas.openxmlformats.org/officeDocument/2006/relationships" ax:classid="{8BD21D60-EC42-11CE-9E0D-00AA006002F3}" r:id="rId1" ax:persistence="persistStreamInit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ctrlProps/ctrlProp50.xml><?xml version="1.0" encoding="utf-8"?>
<formControlPr xmlns="http://schemas.microsoft.com/office/spreadsheetml/2009/9/main" objectType="Button" val="0"/>
</file>

<file path=xl/ctrlProps/ctrlProp51.xml><?xml version="1.0" encoding="utf-8"?>
<formControlPr xmlns="http://schemas.microsoft.com/office/spreadsheetml/2009/9/main" objectType="Button" val="0"/>
</file>

<file path=xl/ctrlProps/ctrlProp52.xml><?xml version="1.0" encoding="utf-8"?>
<formControlPr xmlns="http://schemas.microsoft.com/office/spreadsheetml/2009/9/main" objectType="Button" val="0"/>
</file>

<file path=xl/drawings/_rels/vmlDrawing1.vml.rels><?xml version="1.0" encoding="UTF-8" standalone="yes"?>
<Relationships xmlns="http://schemas.openxmlformats.org/package/2006/relationships"><Relationship Id="rId9" Type="http://schemas.openxmlformats.org/officeDocument/2006/relationships/image" Target="../media/image9.wmf"/><Relationship Id="rId8" Type="http://schemas.openxmlformats.org/officeDocument/2006/relationships/image" Target="../media/image8.wmf"/><Relationship Id="rId7" Type="http://schemas.openxmlformats.org/officeDocument/2006/relationships/image" Target="../media/image7.wmf"/><Relationship Id="rId6" Type="http://schemas.openxmlformats.org/officeDocument/2006/relationships/image" Target="../media/image6.wmf"/><Relationship Id="rId5" Type="http://schemas.openxmlformats.org/officeDocument/2006/relationships/image" Target="../media/image5.wmf"/><Relationship Id="rId49" Type="http://schemas.openxmlformats.org/officeDocument/2006/relationships/image" Target="../media/image49.wmf"/><Relationship Id="rId48" Type="http://schemas.openxmlformats.org/officeDocument/2006/relationships/image" Target="../media/image48.wmf"/><Relationship Id="rId47" Type="http://schemas.openxmlformats.org/officeDocument/2006/relationships/image" Target="../media/image47.wmf"/><Relationship Id="rId46" Type="http://schemas.openxmlformats.org/officeDocument/2006/relationships/image" Target="../media/image46.wmf"/><Relationship Id="rId45" Type="http://schemas.openxmlformats.org/officeDocument/2006/relationships/image" Target="../media/image45.wmf"/><Relationship Id="rId44" Type="http://schemas.openxmlformats.org/officeDocument/2006/relationships/image" Target="../media/image44.wmf"/><Relationship Id="rId43" Type="http://schemas.openxmlformats.org/officeDocument/2006/relationships/image" Target="../media/image43.wmf"/><Relationship Id="rId42" Type="http://schemas.openxmlformats.org/officeDocument/2006/relationships/image" Target="../media/image42.wmf"/><Relationship Id="rId41" Type="http://schemas.openxmlformats.org/officeDocument/2006/relationships/image" Target="../media/image41.wmf"/><Relationship Id="rId40" Type="http://schemas.openxmlformats.org/officeDocument/2006/relationships/image" Target="../media/image40.wmf"/><Relationship Id="rId4" Type="http://schemas.openxmlformats.org/officeDocument/2006/relationships/image" Target="../media/image4.wmf"/><Relationship Id="rId39" Type="http://schemas.openxmlformats.org/officeDocument/2006/relationships/image" Target="../media/image39.wmf"/><Relationship Id="rId38" Type="http://schemas.openxmlformats.org/officeDocument/2006/relationships/image" Target="../media/image38.wmf"/><Relationship Id="rId37" Type="http://schemas.openxmlformats.org/officeDocument/2006/relationships/image" Target="../media/image37.wmf"/><Relationship Id="rId36" Type="http://schemas.openxmlformats.org/officeDocument/2006/relationships/image" Target="../media/image36.wmf"/><Relationship Id="rId35" Type="http://schemas.openxmlformats.org/officeDocument/2006/relationships/image" Target="../media/image35.wmf"/><Relationship Id="rId34" Type="http://schemas.openxmlformats.org/officeDocument/2006/relationships/image" Target="../media/image34.wmf"/><Relationship Id="rId33" Type="http://schemas.openxmlformats.org/officeDocument/2006/relationships/image" Target="../media/image33.wmf"/><Relationship Id="rId32" Type="http://schemas.openxmlformats.org/officeDocument/2006/relationships/image" Target="../media/image32.wmf"/><Relationship Id="rId31" Type="http://schemas.openxmlformats.org/officeDocument/2006/relationships/image" Target="../media/image31.wmf"/><Relationship Id="rId30" Type="http://schemas.openxmlformats.org/officeDocument/2006/relationships/image" Target="../media/image30.wmf"/><Relationship Id="rId3" Type="http://schemas.openxmlformats.org/officeDocument/2006/relationships/image" Target="../media/image3.wmf"/><Relationship Id="rId29" Type="http://schemas.openxmlformats.org/officeDocument/2006/relationships/image" Target="../media/image29.wmf"/><Relationship Id="rId28" Type="http://schemas.openxmlformats.org/officeDocument/2006/relationships/image" Target="../media/image28.wmf"/><Relationship Id="rId27" Type="http://schemas.openxmlformats.org/officeDocument/2006/relationships/image" Target="../media/image27.wmf"/><Relationship Id="rId26" Type="http://schemas.openxmlformats.org/officeDocument/2006/relationships/image" Target="../media/image26.wmf"/><Relationship Id="rId25" Type="http://schemas.openxmlformats.org/officeDocument/2006/relationships/image" Target="../media/image25.wmf"/><Relationship Id="rId24" Type="http://schemas.openxmlformats.org/officeDocument/2006/relationships/image" Target="../media/image24.wmf"/><Relationship Id="rId23" Type="http://schemas.openxmlformats.org/officeDocument/2006/relationships/image" Target="../media/image23.wmf"/><Relationship Id="rId22" Type="http://schemas.openxmlformats.org/officeDocument/2006/relationships/image" Target="../media/image22.wmf"/><Relationship Id="rId21" Type="http://schemas.openxmlformats.org/officeDocument/2006/relationships/image" Target="../media/image21.wmf"/><Relationship Id="rId20" Type="http://schemas.openxmlformats.org/officeDocument/2006/relationships/image" Target="../media/image20.wmf"/><Relationship Id="rId2" Type="http://schemas.openxmlformats.org/officeDocument/2006/relationships/image" Target="../media/image2.wmf"/><Relationship Id="rId19" Type="http://schemas.openxmlformats.org/officeDocument/2006/relationships/image" Target="../media/image19.wmf"/><Relationship Id="rId18" Type="http://schemas.openxmlformats.org/officeDocument/2006/relationships/image" Target="../media/image18.wmf"/><Relationship Id="rId17" Type="http://schemas.openxmlformats.org/officeDocument/2006/relationships/image" Target="../media/image17.wmf"/><Relationship Id="rId16" Type="http://schemas.openxmlformats.org/officeDocument/2006/relationships/image" Target="../media/image16.wmf"/><Relationship Id="rId15" Type="http://schemas.openxmlformats.org/officeDocument/2006/relationships/image" Target="../media/image15.wmf"/><Relationship Id="rId14" Type="http://schemas.openxmlformats.org/officeDocument/2006/relationships/image" Target="../media/image14.wmf"/><Relationship Id="rId13" Type="http://schemas.openxmlformats.org/officeDocument/2006/relationships/image" Target="../media/image13.wmf"/><Relationship Id="rId12" Type="http://schemas.openxmlformats.org/officeDocument/2006/relationships/image" Target="../media/image12.wmf"/><Relationship Id="rId11" Type="http://schemas.openxmlformats.org/officeDocument/2006/relationships/image" Target="../media/image11.wmf"/><Relationship Id="rId10" Type="http://schemas.openxmlformats.org/officeDocument/2006/relationships/image" Target="../media/image10.wmf"/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1135380</xdr:colOff>
          <xdr:row>38</xdr:row>
          <xdr:rowOff>22860</xdr:rowOff>
        </xdr:from>
        <xdr:to>
          <xdr:col>3</xdr:col>
          <xdr:colOff>2141220</xdr:colOff>
          <xdr:row>39</xdr:row>
          <xdr:rowOff>182880</xdr:rowOff>
        </xdr:to>
        <xdr:sp macro="[0]!清除样卷内容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5958840" y="9795510"/>
              <a:ext cx="1005840" cy="360045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等线" panose="02010600030101010101" charset="-122"/>
                </a:rPr>
                <a:t>清除样卷内容</a:t>
              </a:r>
              <a:endParaRPr lang="zh-CN" altLang="en-US" sz="1200" b="0" i="0" u="none" strike="noStrike" baseline="0">
                <a:solidFill>
                  <a:srgbClr val="000000"/>
                </a:solidFill>
                <a:latin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53340</xdr:colOff>
          <xdr:row>38</xdr:row>
          <xdr:rowOff>22860</xdr:rowOff>
        </xdr:from>
        <xdr:to>
          <xdr:col>3</xdr:col>
          <xdr:colOff>1059180</xdr:colOff>
          <xdr:row>39</xdr:row>
          <xdr:rowOff>182880</xdr:rowOff>
        </xdr:to>
        <xdr:sp macro="[0]!输入当前时间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4876800" y="9795510"/>
              <a:ext cx="1005840" cy="360045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等线" panose="02010600030101010101" charset="-122"/>
                </a:rPr>
                <a:t>输入当前时间</a:t>
              </a:r>
              <a:endParaRPr lang="zh-CN" altLang="en-US" sz="1200" b="0" i="0" u="none" strike="noStrike" baseline="0">
                <a:solidFill>
                  <a:srgbClr val="000000"/>
                </a:solidFill>
                <a:latin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1074420</xdr:colOff>
          <xdr:row>36</xdr:row>
          <xdr:rowOff>7620</xdr:rowOff>
        </xdr:from>
        <xdr:to>
          <xdr:col>4</xdr:col>
          <xdr:colOff>2080260</xdr:colOff>
          <xdr:row>37</xdr:row>
          <xdr:rowOff>167640</xdr:rowOff>
        </xdr:to>
        <xdr:sp>
          <xdr:nvSpPr>
            <xdr:cNvPr id="1060" name="CommandButton12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>
            <a:xfrm>
              <a:off x="8999220" y="9380220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2095500</xdr:colOff>
          <xdr:row>36</xdr:row>
          <xdr:rowOff>7620</xdr:rowOff>
        </xdr:from>
        <xdr:to>
          <xdr:col>5</xdr:col>
          <xdr:colOff>0</xdr:colOff>
          <xdr:row>37</xdr:row>
          <xdr:rowOff>167640</xdr:rowOff>
        </xdr:to>
        <xdr:sp>
          <xdr:nvSpPr>
            <xdr:cNvPr id="1061" name="CommandButton13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>
            <a:xfrm>
              <a:off x="10020300" y="9380220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38</xdr:row>
          <xdr:rowOff>22860</xdr:rowOff>
        </xdr:from>
        <xdr:to>
          <xdr:col>4</xdr:col>
          <xdr:colOff>1036320</xdr:colOff>
          <xdr:row>39</xdr:row>
          <xdr:rowOff>182880</xdr:rowOff>
        </xdr:to>
        <xdr:sp>
          <xdr:nvSpPr>
            <xdr:cNvPr id="1062" name="ToggleButton11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>
            <a:xfrm>
              <a:off x="7955280" y="9795510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1066800</xdr:colOff>
          <xdr:row>38</xdr:row>
          <xdr:rowOff>22860</xdr:rowOff>
        </xdr:from>
        <xdr:to>
          <xdr:col>4</xdr:col>
          <xdr:colOff>2072640</xdr:colOff>
          <xdr:row>39</xdr:row>
          <xdr:rowOff>182880</xdr:rowOff>
        </xdr:to>
        <xdr:sp>
          <xdr:nvSpPr>
            <xdr:cNvPr id="1063" name="ToggleButton12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>
            <a:xfrm>
              <a:off x="8991600" y="9795510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45720</xdr:colOff>
          <xdr:row>36</xdr:row>
          <xdr:rowOff>7620</xdr:rowOff>
        </xdr:from>
        <xdr:to>
          <xdr:col>4</xdr:col>
          <xdr:colOff>1051560</xdr:colOff>
          <xdr:row>37</xdr:row>
          <xdr:rowOff>167640</xdr:rowOff>
        </xdr:to>
        <xdr:sp>
          <xdr:nvSpPr>
            <xdr:cNvPr id="1069" name="CommandButton11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>
            <a:xfrm>
              <a:off x="7970520" y="9380220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36</xdr:row>
          <xdr:rowOff>15240</xdr:rowOff>
        </xdr:from>
        <xdr:to>
          <xdr:col>1</xdr:col>
          <xdr:colOff>1485900</xdr:colOff>
          <xdr:row>37</xdr:row>
          <xdr:rowOff>175260</xdr:rowOff>
        </xdr:to>
        <xdr:sp>
          <xdr:nvSpPr>
            <xdr:cNvPr id="1071" name="CommandButton01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>
            <a:xfrm>
              <a:off x="746760" y="9387840"/>
              <a:ext cx="144018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2202180</xdr:colOff>
          <xdr:row>38</xdr:row>
          <xdr:rowOff>22860</xdr:rowOff>
        </xdr:from>
        <xdr:to>
          <xdr:col>3</xdr:col>
          <xdr:colOff>3017520</xdr:colOff>
          <xdr:row>39</xdr:row>
          <xdr:rowOff>182880</xdr:rowOff>
        </xdr:to>
        <xdr:sp macro="[0]!刷新记录序列">
          <xdr:nvSpPr>
            <xdr:cNvPr id="1073" name="Button 49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>
            <a:xfrm>
              <a:off x="7025640" y="9795510"/>
              <a:ext cx="815340" cy="360045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等线" panose="02010600030101010101" charset="-122"/>
                </a:rPr>
                <a:t>刷新编号编号刷新</a:t>
              </a:r>
              <a:endParaRPr lang="zh-CN" altLang="en-US" sz="1200" b="0" i="0" u="none" strike="noStrike" baseline="0">
                <a:solidFill>
                  <a:srgbClr val="000000"/>
                </a:solidFill>
                <a:latin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36</xdr:row>
          <xdr:rowOff>7620</xdr:rowOff>
        </xdr:from>
        <xdr:to>
          <xdr:col>5</xdr:col>
          <xdr:colOff>1043940</xdr:colOff>
          <xdr:row>37</xdr:row>
          <xdr:rowOff>167640</xdr:rowOff>
        </xdr:to>
        <xdr:sp>
          <xdr:nvSpPr>
            <xdr:cNvPr id="1074" name="CommandButton21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>
            <a:xfrm>
              <a:off x="11064240" y="9380220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1059180</xdr:colOff>
          <xdr:row>36</xdr:row>
          <xdr:rowOff>7620</xdr:rowOff>
        </xdr:from>
        <xdr:to>
          <xdr:col>5</xdr:col>
          <xdr:colOff>2065020</xdr:colOff>
          <xdr:row>37</xdr:row>
          <xdr:rowOff>167640</xdr:rowOff>
        </xdr:to>
        <xdr:sp>
          <xdr:nvSpPr>
            <xdr:cNvPr id="1075" name="CommandButton22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>
            <a:xfrm>
              <a:off x="12085320" y="9380220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2087880</xdr:colOff>
          <xdr:row>36</xdr:row>
          <xdr:rowOff>7620</xdr:rowOff>
        </xdr:from>
        <xdr:to>
          <xdr:col>5</xdr:col>
          <xdr:colOff>3093720</xdr:colOff>
          <xdr:row>37</xdr:row>
          <xdr:rowOff>167640</xdr:rowOff>
        </xdr:to>
        <xdr:sp>
          <xdr:nvSpPr>
            <xdr:cNvPr id="1076" name="CommandButton23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>
            <a:xfrm>
              <a:off x="13114020" y="9380220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38</xdr:row>
          <xdr:rowOff>30480</xdr:rowOff>
        </xdr:from>
        <xdr:to>
          <xdr:col>5</xdr:col>
          <xdr:colOff>1043940</xdr:colOff>
          <xdr:row>39</xdr:row>
          <xdr:rowOff>190500</xdr:rowOff>
        </xdr:to>
        <xdr:sp>
          <xdr:nvSpPr>
            <xdr:cNvPr id="1078" name="ToggleButton21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>
            <a:xfrm>
              <a:off x="11064240" y="9803130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1059180</xdr:colOff>
          <xdr:row>38</xdr:row>
          <xdr:rowOff>30480</xdr:rowOff>
        </xdr:from>
        <xdr:to>
          <xdr:col>5</xdr:col>
          <xdr:colOff>2065020</xdr:colOff>
          <xdr:row>39</xdr:row>
          <xdr:rowOff>190500</xdr:rowOff>
        </xdr:to>
        <xdr:sp>
          <xdr:nvSpPr>
            <xdr:cNvPr id="1079" name="ToggleButton22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>
            <a:xfrm>
              <a:off x="12085320" y="9803130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36</xdr:row>
          <xdr:rowOff>7620</xdr:rowOff>
        </xdr:from>
        <xdr:to>
          <xdr:col>6</xdr:col>
          <xdr:colOff>1043940</xdr:colOff>
          <xdr:row>37</xdr:row>
          <xdr:rowOff>167640</xdr:rowOff>
        </xdr:to>
        <xdr:sp>
          <xdr:nvSpPr>
            <xdr:cNvPr id="1081" name="CommandButton31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>
            <a:xfrm>
              <a:off x="14165580" y="9380220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1066800</xdr:colOff>
          <xdr:row>36</xdr:row>
          <xdr:rowOff>7620</xdr:rowOff>
        </xdr:from>
        <xdr:to>
          <xdr:col>6</xdr:col>
          <xdr:colOff>2072640</xdr:colOff>
          <xdr:row>37</xdr:row>
          <xdr:rowOff>167640</xdr:rowOff>
        </xdr:to>
        <xdr:sp>
          <xdr:nvSpPr>
            <xdr:cNvPr id="1082" name="CommandButton32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>
            <a:xfrm>
              <a:off x="15194280" y="9380220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2087880</xdr:colOff>
          <xdr:row>36</xdr:row>
          <xdr:rowOff>7620</xdr:rowOff>
        </xdr:from>
        <xdr:to>
          <xdr:col>6</xdr:col>
          <xdr:colOff>3093720</xdr:colOff>
          <xdr:row>37</xdr:row>
          <xdr:rowOff>167640</xdr:rowOff>
        </xdr:to>
        <xdr:sp>
          <xdr:nvSpPr>
            <xdr:cNvPr id="1083" name="CommandButton33" hidden="1">
              <a:extLst>
                <a:ext uri="{63B3BB69-23CF-44E3-9099-C40C66FF867C}">
                  <a14:compatExt spid="_x0000_s1083"/>
                </a:ext>
              </a:extLst>
            </xdr:cNvPr>
            <xdr:cNvSpPr/>
          </xdr:nvSpPr>
          <xdr:spPr>
            <a:xfrm>
              <a:off x="16215360" y="9380220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</xdr:colOff>
          <xdr:row>38</xdr:row>
          <xdr:rowOff>30480</xdr:rowOff>
        </xdr:from>
        <xdr:to>
          <xdr:col>6</xdr:col>
          <xdr:colOff>1036320</xdr:colOff>
          <xdr:row>39</xdr:row>
          <xdr:rowOff>190500</xdr:rowOff>
        </xdr:to>
        <xdr:sp>
          <xdr:nvSpPr>
            <xdr:cNvPr id="1084" name="ToggleButton31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>
            <a:xfrm>
              <a:off x="14157960" y="9803130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1051560</xdr:colOff>
          <xdr:row>38</xdr:row>
          <xdr:rowOff>30480</xdr:rowOff>
        </xdr:from>
        <xdr:to>
          <xdr:col>6</xdr:col>
          <xdr:colOff>2057400</xdr:colOff>
          <xdr:row>39</xdr:row>
          <xdr:rowOff>190500</xdr:rowOff>
        </xdr:to>
        <xdr:sp>
          <xdr:nvSpPr>
            <xdr:cNvPr id="1085" name="ToggleButton32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>
            <a:xfrm>
              <a:off x="15179040" y="9803130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</xdr:colOff>
          <xdr:row>36</xdr:row>
          <xdr:rowOff>7620</xdr:rowOff>
        </xdr:from>
        <xdr:to>
          <xdr:col>7</xdr:col>
          <xdr:colOff>1021080</xdr:colOff>
          <xdr:row>37</xdr:row>
          <xdr:rowOff>167640</xdr:rowOff>
        </xdr:to>
        <xdr:sp>
          <xdr:nvSpPr>
            <xdr:cNvPr id="1086" name="CommandButton41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>
            <a:xfrm>
              <a:off x="17244060" y="9380220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1028700</xdr:colOff>
          <xdr:row>36</xdr:row>
          <xdr:rowOff>7620</xdr:rowOff>
        </xdr:from>
        <xdr:to>
          <xdr:col>7</xdr:col>
          <xdr:colOff>2034540</xdr:colOff>
          <xdr:row>37</xdr:row>
          <xdr:rowOff>167640</xdr:rowOff>
        </xdr:to>
        <xdr:sp>
          <xdr:nvSpPr>
            <xdr:cNvPr id="1087" name="CommandButton42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>
            <a:xfrm>
              <a:off x="18257520" y="9380220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2057400</xdr:colOff>
          <xdr:row>36</xdr:row>
          <xdr:rowOff>7620</xdr:rowOff>
        </xdr:from>
        <xdr:to>
          <xdr:col>7</xdr:col>
          <xdr:colOff>3063240</xdr:colOff>
          <xdr:row>37</xdr:row>
          <xdr:rowOff>167640</xdr:rowOff>
        </xdr:to>
        <xdr:sp>
          <xdr:nvSpPr>
            <xdr:cNvPr id="1088" name="CommandButton43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>
            <a:xfrm>
              <a:off x="19286220" y="9380220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38</xdr:row>
          <xdr:rowOff>30480</xdr:rowOff>
        </xdr:from>
        <xdr:to>
          <xdr:col>7</xdr:col>
          <xdr:colOff>1028700</xdr:colOff>
          <xdr:row>39</xdr:row>
          <xdr:rowOff>190500</xdr:rowOff>
        </xdr:to>
        <xdr:sp>
          <xdr:nvSpPr>
            <xdr:cNvPr id="1089" name="ToggleButton41" hidden="1">
              <a:extLst>
                <a:ext uri="{63B3BB69-23CF-44E3-9099-C40C66FF867C}">
                  <a14:compatExt spid="_x0000_s1089"/>
                </a:ext>
              </a:extLst>
            </xdr:cNvPr>
            <xdr:cNvSpPr/>
          </xdr:nvSpPr>
          <xdr:spPr>
            <a:xfrm>
              <a:off x="17251680" y="9803130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1028700</xdr:colOff>
          <xdr:row>38</xdr:row>
          <xdr:rowOff>30480</xdr:rowOff>
        </xdr:from>
        <xdr:to>
          <xdr:col>7</xdr:col>
          <xdr:colOff>2034540</xdr:colOff>
          <xdr:row>39</xdr:row>
          <xdr:rowOff>190500</xdr:rowOff>
        </xdr:to>
        <xdr:sp>
          <xdr:nvSpPr>
            <xdr:cNvPr id="1090" name="ToggleButton42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>
            <a:xfrm>
              <a:off x="18257520" y="9803130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30480</xdr:colOff>
          <xdr:row>36</xdr:row>
          <xdr:rowOff>7620</xdr:rowOff>
        </xdr:from>
        <xdr:to>
          <xdr:col>8</xdr:col>
          <xdr:colOff>1036320</xdr:colOff>
          <xdr:row>37</xdr:row>
          <xdr:rowOff>167640</xdr:rowOff>
        </xdr:to>
        <xdr:sp>
          <xdr:nvSpPr>
            <xdr:cNvPr id="1091" name="CommandButton51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>
            <a:xfrm>
              <a:off x="20360640" y="9380220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1059180</xdr:colOff>
          <xdr:row>36</xdr:row>
          <xdr:rowOff>7620</xdr:rowOff>
        </xdr:from>
        <xdr:to>
          <xdr:col>8</xdr:col>
          <xdr:colOff>2065020</xdr:colOff>
          <xdr:row>37</xdr:row>
          <xdr:rowOff>167640</xdr:rowOff>
        </xdr:to>
        <xdr:sp>
          <xdr:nvSpPr>
            <xdr:cNvPr id="1092" name="CommandButton52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>
            <a:xfrm>
              <a:off x="21389340" y="9380220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2087880</xdr:colOff>
          <xdr:row>36</xdr:row>
          <xdr:rowOff>7620</xdr:rowOff>
        </xdr:from>
        <xdr:to>
          <xdr:col>8</xdr:col>
          <xdr:colOff>3093720</xdr:colOff>
          <xdr:row>37</xdr:row>
          <xdr:rowOff>167640</xdr:rowOff>
        </xdr:to>
        <xdr:sp>
          <xdr:nvSpPr>
            <xdr:cNvPr id="1093" name="CommandButton53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>
            <a:xfrm>
              <a:off x="22418040" y="9380220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38</xdr:row>
          <xdr:rowOff>30480</xdr:rowOff>
        </xdr:from>
        <xdr:to>
          <xdr:col>8</xdr:col>
          <xdr:colOff>1043940</xdr:colOff>
          <xdr:row>39</xdr:row>
          <xdr:rowOff>190500</xdr:rowOff>
        </xdr:to>
        <xdr:sp>
          <xdr:nvSpPr>
            <xdr:cNvPr id="1094" name="ToggleButton51" hidden="1">
              <a:extLst>
                <a:ext uri="{63B3BB69-23CF-44E3-9099-C40C66FF867C}">
                  <a14:compatExt spid="_x0000_s1094"/>
                </a:ext>
              </a:extLst>
            </xdr:cNvPr>
            <xdr:cNvSpPr/>
          </xdr:nvSpPr>
          <xdr:spPr>
            <a:xfrm>
              <a:off x="20368260" y="9803130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1066800</xdr:colOff>
          <xdr:row>38</xdr:row>
          <xdr:rowOff>30480</xdr:rowOff>
        </xdr:from>
        <xdr:to>
          <xdr:col>8</xdr:col>
          <xdr:colOff>2072640</xdr:colOff>
          <xdr:row>39</xdr:row>
          <xdr:rowOff>190500</xdr:rowOff>
        </xdr:to>
        <xdr:sp>
          <xdr:nvSpPr>
            <xdr:cNvPr id="1095" name="ToggleButton52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>
            <a:xfrm>
              <a:off x="21396960" y="9803130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</xdr:colOff>
          <xdr:row>36</xdr:row>
          <xdr:rowOff>7620</xdr:rowOff>
        </xdr:from>
        <xdr:to>
          <xdr:col>9</xdr:col>
          <xdr:colOff>1036320</xdr:colOff>
          <xdr:row>37</xdr:row>
          <xdr:rowOff>167640</xdr:rowOff>
        </xdr:to>
        <xdr:sp>
          <xdr:nvSpPr>
            <xdr:cNvPr id="1096" name="CommandButton61" hidden="1">
              <a:extLst>
                <a:ext uri="{63B3BB69-23CF-44E3-9099-C40C66FF867C}">
                  <a14:compatExt spid="_x0000_s1096"/>
                </a:ext>
              </a:extLst>
            </xdr:cNvPr>
            <xdr:cNvSpPr/>
          </xdr:nvSpPr>
          <xdr:spPr>
            <a:xfrm>
              <a:off x="23461980" y="9380220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1059180</xdr:colOff>
          <xdr:row>36</xdr:row>
          <xdr:rowOff>7620</xdr:rowOff>
        </xdr:from>
        <xdr:to>
          <xdr:col>9</xdr:col>
          <xdr:colOff>2065020</xdr:colOff>
          <xdr:row>37</xdr:row>
          <xdr:rowOff>167640</xdr:rowOff>
        </xdr:to>
        <xdr:sp>
          <xdr:nvSpPr>
            <xdr:cNvPr id="1097" name="CommandButton62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>
            <a:xfrm>
              <a:off x="24490680" y="9380220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38</xdr:row>
          <xdr:rowOff>30480</xdr:rowOff>
        </xdr:from>
        <xdr:to>
          <xdr:col>9</xdr:col>
          <xdr:colOff>1043940</xdr:colOff>
          <xdr:row>39</xdr:row>
          <xdr:rowOff>190500</xdr:rowOff>
        </xdr:to>
        <xdr:sp>
          <xdr:nvSpPr>
            <xdr:cNvPr id="1098" name="ToggleButton61" hidden="1">
              <a:extLst>
                <a:ext uri="{63B3BB69-23CF-44E3-9099-C40C66FF867C}">
                  <a14:compatExt spid="_x0000_s1098"/>
                </a:ext>
              </a:extLst>
            </xdr:cNvPr>
            <xdr:cNvSpPr/>
          </xdr:nvSpPr>
          <xdr:spPr>
            <a:xfrm>
              <a:off x="23469600" y="9803130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1051560</xdr:colOff>
          <xdr:row>38</xdr:row>
          <xdr:rowOff>30480</xdr:rowOff>
        </xdr:from>
        <xdr:to>
          <xdr:col>9</xdr:col>
          <xdr:colOff>2057400</xdr:colOff>
          <xdr:row>39</xdr:row>
          <xdr:rowOff>190500</xdr:rowOff>
        </xdr:to>
        <xdr:sp>
          <xdr:nvSpPr>
            <xdr:cNvPr id="1099" name="ToggleButton62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>
            <a:xfrm>
              <a:off x="24483060" y="9803130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2080260</xdr:colOff>
          <xdr:row>36</xdr:row>
          <xdr:rowOff>7620</xdr:rowOff>
        </xdr:from>
        <xdr:to>
          <xdr:col>9</xdr:col>
          <xdr:colOff>3086100</xdr:colOff>
          <xdr:row>37</xdr:row>
          <xdr:rowOff>167640</xdr:rowOff>
        </xdr:to>
        <xdr:sp>
          <xdr:nvSpPr>
            <xdr:cNvPr id="1100" name="CommandButton63" hidden="1">
              <a:extLst>
                <a:ext uri="{63B3BB69-23CF-44E3-9099-C40C66FF867C}">
                  <a14:compatExt spid="_x0000_s1100"/>
                </a:ext>
              </a:extLst>
            </xdr:cNvPr>
            <xdr:cNvSpPr/>
          </xdr:nvSpPr>
          <xdr:spPr>
            <a:xfrm>
              <a:off x="25511760" y="9380220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36</xdr:row>
          <xdr:rowOff>7620</xdr:rowOff>
        </xdr:from>
        <xdr:to>
          <xdr:col>10</xdr:col>
          <xdr:colOff>1028700</xdr:colOff>
          <xdr:row>37</xdr:row>
          <xdr:rowOff>167640</xdr:rowOff>
        </xdr:to>
        <xdr:sp>
          <xdr:nvSpPr>
            <xdr:cNvPr id="1101" name="CommandButton71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>
            <a:xfrm>
              <a:off x="26555700" y="9380220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1043940</xdr:colOff>
          <xdr:row>36</xdr:row>
          <xdr:rowOff>7620</xdr:rowOff>
        </xdr:from>
        <xdr:to>
          <xdr:col>10</xdr:col>
          <xdr:colOff>2049780</xdr:colOff>
          <xdr:row>37</xdr:row>
          <xdr:rowOff>167640</xdr:rowOff>
        </xdr:to>
        <xdr:sp>
          <xdr:nvSpPr>
            <xdr:cNvPr id="1102" name="CommandButton72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>
            <a:xfrm>
              <a:off x="27576780" y="9380220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2072640</xdr:colOff>
          <xdr:row>36</xdr:row>
          <xdr:rowOff>7620</xdr:rowOff>
        </xdr:from>
        <xdr:to>
          <xdr:col>10</xdr:col>
          <xdr:colOff>3078480</xdr:colOff>
          <xdr:row>37</xdr:row>
          <xdr:rowOff>167640</xdr:rowOff>
        </xdr:to>
        <xdr:sp>
          <xdr:nvSpPr>
            <xdr:cNvPr id="1103" name="CommandButton73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>
            <a:xfrm>
              <a:off x="28605480" y="9380220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38</xdr:row>
          <xdr:rowOff>30480</xdr:rowOff>
        </xdr:from>
        <xdr:to>
          <xdr:col>10</xdr:col>
          <xdr:colOff>1043940</xdr:colOff>
          <xdr:row>39</xdr:row>
          <xdr:rowOff>190500</xdr:rowOff>
        </xdr:to>
        <xdr:sp>
          <xdr:nvSpPr>
            <xdr:cNvPr id="1104" name="ToggleButton71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>
            <a:xfrm>
              <a:off x="26570940" y="9803130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1066800</xdr:colOff>
          <xdr:row>38</xdr:row>
          <xdr:rowOff>30480</xdr:rowOff>
        </xdr:from>
        <xdr:to>
          <xdr:col>10</xdr:col>
          <xdr:colOff>2072640</xdr:colOff>
          <xdr:row>39</xdr:row>
          <xdr:rowOff>190500</xdr:rowOff>
        </xdr:to>
        <xdr:sp>
          <xdr:nvSpPr>
            <xdr:cNvPr id="1105" name="ToggleButton72" hidden="1">
              <a:extLst>
                <a:ext uri="{63B3BB69-23CF-44E3-9099-C40C66FF867C}">
                  <a14:compatExt spid="_x0000_s1105"/>
                </a:ext>
              </a:extLst>
            </xdr:cNvPr>
            <xdr:cNvSpPr/>
          </xdr:nvSpPr>
          <xdr:spPr>
            <a:xfrm>
              <a:off x="27599640" y="9803130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</xdr:colOff>
          <xdr:row>36</xdr:row>
          <xdr:rowOff>7620</xdr:rowOff>
        </xdr:from>
        <xdr:to>
          <xdr:col>11</xdr:col>
          <xdr:colOff>1036320</xdr:colOff>
          <xdr:row>37</xdr:row>
          <xdr:rowOff>167640</xdr:rowOff>
        </xdr:to>
        <xdr:sp>
          <xdr:nvSpPr>
            <xdr:cNvPr id="1106" name="CommandButton81" hidden="1">
              <a:extLst>
                <a:ext uri="{63B3BB69-23CF-44E3-9099-C40C66FF867C}">
                  <a14:compatExt spid="_x0000_s1106"/>
                </a:ext>
              </a:extLst>
            </xdr:cNvPr>
            <xdr:cNvSpPr/>
          </xdr:nvSpPr>
          <xdr:spPr>
            <a:xfrm>
              <a:off x="29664660" y="9380220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1066800</xdr:colOff>
          <xdr:row>36</xdr:row>
          <xdr:rowOff>7620</xdr:rowOff>
        </xdr:from>
        <xdr:to>
          <xdr:col>11</xdr:col>
          <xdr:colOff>2072640</xdr:colOff>
          <xdr:row>37</xdr:row>
          <xdr:rowOff>167640</xdr:rowOff>
        </xdr:to>
        <xdr:sp>
          <xdr:nvSpPr>
            <xdr:cNvPr id="1107" name="CommandButton82" hidden="1">
              <a:extLst>
                <a:ext uri="{63B3BB69-23CF-44E3-9099-C40C66FF867C}">
                  <a14:compatExt spid="_x0000_s1107"/>
                </a:ext>
              </a:extLst>
            </xdr:cNvPr>
            <xdr:cNvSpPr/>
          </xdr:nvSpPr>
          <xdr:spPr>
            <a:xfrm>
              <a:off x="30700980" y="9380220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2087880</xdr:colOff>
          <xdr:row>36</xdr:row>
          <xdr:rowOff>7620</xdr:rowOff>
        </xdr:from>
        <xdr:to>
          <xdr:col>11</xdr:col>
          <xdr:colOff>3093720</xdr:colOff>
          <xdr:row>37</xdr:row>
          <xdr:rowOff>167640</xdr:rowOff>
        </xdr:to>
        <xdr:sp>
          <xdr:nvSpPr>
            <xdr:cNvPr id="1108" name="CommandButton83" hidden="1">
              <a:extLst>
                <a:ext uri="{63B3BB69-23CF-44E3-9099-C40C66FF867C}">
                  <a14:compatExt spid="_x0000_s1108"/>
                </a:ext>
              </a:extLst>
            </xdr:cNvPr>
            <xdr:cNvSpPr/>
          </xdr:nvSpPr>
          <xdr:spPr>
            <a:xfrm>
              <a:off x="31722060" y="9380220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38</xdr:row>
          <xdr:rowOff>30480</xdr:rowOff>
        </xdr:from>
        <xdr:to>
          <xdr:col>11</xdr:col>
          <xdr:colOff>1043940</xdr:colOff>
          <xdr:row>39</xdr:row>
          <xdr:rowOff>190500</xdr:rowOff>
        </xdr:to>
        <xdr:sp>
          <xdr:nvSpPr>
            <xdr:cNvPr id="1109" name="ToggleButton81" hidden="1">
              <a:extLst>
                <a:ext uri="{63B3BB69-23CF-44E3-9099-C40C66FF867C}">
                  <a14:compatExt spid="_x0000_s1109"/>
                </a:ext>
              </a:extLst>
            </xdr:cNvPr>
            <xdr:cNvSpPr/>
          </xdr:nvSpPr>
          <xdr:spPr>
            <a:xfrm>
              <a:off x="29672280" y="9803130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1066800</xdr:colOff>
          <xdr:row>38</xdr:row>
          <xdr:rowOff>30480</xdr:rowOff>
        </xdr:from>
        <xdr:to>
          <xdr:col>11</xdr:col>
          <xdr:colOff>2072640</xdr:colOff>
          <xdr:row>39</xdr:row>
          <xdr:rowOff>190500</xdr:rowOff>
        </xdr:to>
        <xdr:sp>
          <xdr:nvSpPr>
            <xdr:cNvPr id="1110" name="ToggleButton82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>
            <a:xfrm>
              <a:off x="30700980" y="9803130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36</xdr:row>
          <xdr:rowOff>7620</xdr:rowOff>
        </xdr:from>
        <xdr:to>
          <xdr:col>12</xdr:col>
          <xdr:colOff>1036320</xdr:colOff>
          <xdr:row>37</xdr:row>
          <xdr:rowOff>167640</xdr:rowOff>
        </xdr:to>
        <xdr:sp>
          <xdr:nvSpPr>
            <xdr:cNvPr id="1111" name="CommandButton91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>
            <a:xfrm>
              <a:off x="32766000" y="9380220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1059180</xdr:colOff>
          <xdr:row>36</xdr:row>
          <xdr:rowOff>7620</xdr:rowOff>
        </xdr:from>
        <xdr:to>
          <xdr:col>12</xdr:col>
          <xdr:colOff>2065020</xdr:colOff>
          <xdr:row>37</xdr:row>
          <xdr:rowOff>167640</xdr:rowOff>
        </xdr:to>
        <xdr:sp>
          <xdr:nvSpPr>
            <xdr:cNvPr id="1112" name="CommandButton92" hidden="1">
              <a:extLst>
                <a:ext uri="{63B3BB69-23CF-44E3-9099-C40C66FF867C}">
                  <a14:compatExt spid="_x0000_s1112"/>
                </a:ext>
              </a:extLst>
            </xdr:cNvPr>
            <xdr:cNvSpPr/>
          </xdr:nvSpPr>
          <xdr:spPr>
            <a:xfrm>
              <a:off x="33794700" y="9380220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2080260</xdr:colOff>
          <xdr:row>36</xdr:row>
          <xdr:rowOff>7620</xdr:rowOff>
        </xdr:from>
        <xdr:to>
          <xdr:col>12</xdr:col>
          <xdr:colOff>3086100</xdr:colOff>
          <xdr:row>37</xdr:row>
          <xdr:rowOff>167640</xdr:rowOff>
        </xdr:to>
        <xdr:sp>
          <xdr:nvSpPr>
            <xdr:cNvPr id="1113" name="CommandButton93" hidden="1">
              <a:extLst>
                <a:ext uri="{63B3BB69-23CF-44E3-9099-C40C66FF867C}">
                  <a14:compatExt spid="_x0000_s1113"/>
                </a:ext>
              </a:extLst>
            </xdr:cNvPr>
            <xdr:cNvSpPr/>
          </xdr:nvSpPr>
          <xdr:spPr>
            <a:xfrm>
              <a:off x="34815780" y="9380220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38</xdr:row>
          <xdr:rowOff>30480</xdr:rowOff>
        </xdr:from>
        <xdr:to>
          <xdr:col>12</xdr:col>
          <xdr:colOff>1043940</xdr:colOff>
          <xdr:row>39</xdr:row>
          <xdr:rowOff>190500</xdr:rowOff>
        </xdr:to>
        <xdr:sp>
          <xdr:nvSpPr>
            <xdr:cNvPr id="1114" name="ToggleButton91" hidden="1">
              <a:extLst>
                <a:ext uri="{63B3BB69-23CF-44E3-9099-C40C66FF867C}">
                  <a14:compatExt spid="_x0000_s1114"/>
                </a:ext>
              </a:extLst>
            </xdr:cNvPr>
            <xdr:cNvSpPr/>
          </xdr:nvSpPr>
          <xdr:spPr>
            <a:xfrm>
              <a:off x="32773620" y="9803130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1059180</xdr:colOff>
          <xdr:row>38</xdr:row>
          <xdr:rowOff>30480</xdr:rowOff>
        </xdr:from>
        <xdr:to>
          <xdr:col>12</xdr:col>
          <xdr:colOff>2065020</xdr:colOff>
          <xdr:row>39</xdr:row>
          <xdr:rowOff>190500</xdr:rowOff>
        </xdr:to>
        <xdr:sp>
          <xdr:nvSpPr>
            <xdr:cNvPr id="1115" name="ToggleButton92" hidden="1">
              <a:extLst>
                <a:ext uri="{63B3BB69-23CF-44E3-9099-C40C66FF867C}">
                  <a14:compatExt spid="_x0000_s1115"/>
                </a:ext>
              </a:extLst>
            </xdr:cNvPr>
            <xdr:cNvSpPr/>
          </xdr:nvSpPr>
          <xdr:spPr>
            <a:xfrm>
              <a:off x="33794700" y="9803130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38</xdr:row>
          <xdr:rowOff>38100</xdr:rowOff>
        </xdr:from>
        <xdr:to>
          <xdr:col>1</xdr:col>
          <xdr:colOff>754380</xdr:colOff>
          <xdr:row>39</xdr:row>
          <xdr:rowOff>167640</xdr:rowOff>
        </xdr:to>
        <xdr:sp>
          <xdr:nvSpPr>
            <xdr:cNvPr id="1116" name="CommandButton02" hidden="1">
              <a:extLst>
                <a:ext uri="{63B3BB69-23CF-44E3-9099-C40C66FF867C}">
                  <a14:compatExt spid="_x0000_s1116"/>
                </a:ext>
              </a:extLst>
            </xdr:cNvPr>
            <xdr:cNvSpPr/>
          </xdr:nvSpPr>
          <xdr:spPr>
            <a:xfrm>
              <a:off x="739140" y="9810750"/>
              <a:ext cx="716280" cy="32956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762000</xdr:colOff>
          <xdr:row>38</xdr:row>
          <xdr:rowOff>38100</xdr:rowOff>
        </xdr:from>
        <xdr:to>
          <xdr:col>1</xdr:col>
          <xdr:colOff>1478280</xdr:colOff>
          <xdr:row>39</xdr:row>
          <xdr:rowOff>167640</xdr:rowOff>
        </xdr:to>
        <xdr:sp>
          <xdr:nvSpPr>
            <xdr:cNvPr id="1117" name="CommandButton03" hidden="1">
              <a:extLst>
                <a:ext uri="{63B3BB69-23CF-44E3-9099-C40C66FF867C}">
                  <a14:compatExt spid="_x0000_s1117"/>
                </a:ext>
              </a:extLst>
            </xdr:cNvPr>
            <xdr:cNvSpPr/>
          </xdr:nvSpPr>
          <xdr:spPr>
            <a:xfrm>
              <a:off x="1463040" y="9810750"/>
              <a:ext cx="716280" cy="32956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36</xdr:row>
          <xdr:rowOff>30480</xdr:rowOff>
        </xdr:from>
        <xdr:to>
          <xdr:col>1</xdr:col>
          <xdr:colOff>0</xdr:colOff>
          <xdr:row>39</xdr:row>
          <xdr:rowOff>167640</xdr:rowOff>
        </xdr:to>
        <xdr:sp>
          <xdr:nvSpPr>
            <xdr:cNvPr id="1118" name="CommandButton04" hidden="1">
              <a:extLst>
                <a:ext uri="{63B3BB69-23CF-44E3-9099-C40C66FF867C}">
                  <a14:compatExt spid="_x0000_s1118"/>
                </a:ext>
              </a:extLst>
            </xdr:cNvPr>
            <xdr:cNvSpPr/>
          </xdr:nvSpPr>
          <xdr:spPr>
            <a:xfrm>
              <a:off x="38100" y="9403080"/>
              <a:ext cx="662940" cy="73723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9" Type="http://schemas.openxmlformats.org/officeDocument/2006/relationships/image" Target="../media/image48.wmf"/><Relationship Id="rId98" Type="http://schemas.openxmlformats.org/officeDocument/2006/relationships/control" Target="../activeX/activeX48.xml"/><Relationship Id="rId97" Type="http://schemas.openxmlformats.org/officeDocument/2006/relationships/image" Target="../media/image47.wmf"/><Relationship Id="rId96" Type="http://schemas.openxmlformats.org/officeDocument/2006/relationships/control" Target="../activeX/activeX47.xml"/><Relationship Id="rId95" Type="http://schemas.openxmlformats.org/officeDocument/2006/relationships/image" Target="../media/image46.wmf"/><Relationship Id="rId94" Type="http://schemas.openxmlformats.org/officeDocument/2006/relationships/control" Target="../activeX/activeX46.xml"/><Relationship Id="rId93" Type="http://schemas.openxmlformats.org/officeDocument/2006/relationships/image" Target="../media/image45.wmf"/><Relationship Id="rId92" Type="http://schemas.openxmlformats.org/officeDocument/2006/relationships/control" Target="../activeX/activeX45.xml"/><Relationship Id="rId91" Type="http://schemas.openxmlformats.org/officeDocument/2006/relationships/image" Target="../media/image44.wmf"/><Relationship Id="rId90" Type="http://schemas.openxmlformats.org/officeDocument/2006/relationships/control" Target="../activeX/activeX44.xml"/><Relationship Id="rId9" Type="http://schemas.openxmlformats.org/officeDocument/2006/relationships/image" Target="../media/image3.wmf"/><Relationship Id="rId89" Type="http://schemas.openxmlformats.org/officeDocument/2006/relationships/image" Target="../media/image43.wmf"/><Relationship Id="rId88" Type="http://schemas.openxmlformats.org/officeDocument/2006/relationships/control" Target="../activeX/activeX43.xml"/><Relationship Id="rId87" Type="http://schemas.openxmlformats.org/officeDocument/2006/relationships/image" Target="../media/image42.wmf"/><Relationship Id="rId86" Type="http://schemas.openxmlformats.org/officeDocument/2006/relationships/control" Target="../activeX/activeX42.xml"/><Relationship Id="rId85" Type="http://schemas.openxmlformats.org/officeDocument/2006/relationships/image" Target="../media/image41.wmf"/><Relationship Id="rId84" Type="http://schemas.openxmlformats.org/officeDocument/2006/relationships/control" Target="../activeX/activeX41.xml"/><Relationship Id="rId83" Type="http://schemas.openxmlformats.org/officeDocument/2006/relationships/image" Target="../media/image40.wmf"/><Relationship Id="rId82" Type="http://schemas.openxmlformats.org/officeDocument/2006/relationships/control" Target="../activeX/activeX40.xml"/><Relationship Id="rId81" Type="http://schemas.openxmlformats.org/officeDocument/2006/relationships/image" Target="../media/image39.wmf"/><Relationship Id="rId80" Type="http://schemas.openxmlformats.org/officeDocument/2006/relationships/control" Target="../activeX/activeX39.xml"/><Relationship Id="rId8" Type="http://schemas.openxmlformats.org/officeDocument/2006/relationships/control" Target="../activeX/activeX3.xml"/><Relationship Id="rId79" Type="http://schemas.openxmlformats.org/officeDocument/2006/relationships/image" Target="../media/image38.wmf"/><Relationship Id="rId78" Type="http://schemas.openxmlformats.org/officeDocument/2006/relationships/control" Target="../activeX/activeX38.xml"/><Relationship Id="rId77" Type="http://schemas.openxmlformats.org/officeDocument/2006/relationships/image" Target="../media/image37.wmf"/><Relationship Id="rId76" Type="http://schemas.openxmlformats.org/officeDocument/2006/relationships/control" Target="../activeX/activeX37.xml"/><Relationship Id="rId75" Type="http://schemas.openxmlformats.org/officeDocument/2006/relationships/image" Target="../media/image36.wmf"/><Relationship Id="rId74" Type="http://schemas.openxmlformats.org/officeDocument/2006/relationships/control" Target="../activeX/activeX36.xml"/><Relationship Id="rId73" Type="http://schemas.openxmlformats.org/officeDocument/2006/relationships/image" Target="../media/image35.wmf"/><Relationship Id="rId72" Type="http://schemas.openxmlformats.org/officeDocument/2006/relationships/control" Target="../activeX/activeX35.xml"/><Relationship Id="rId71" Type="http://schemas.openxmlformats.org/officeDocument/2006/relationships/image" Target="../media/image34.wmf"/><Relationship Id="rId70" Type="http://schemas.openxmlformats.org/officeDocument/2006/relationships/control" Target="../activeX/activeX34.xml"/><Relationship Id="rId7" Type="http://schemas.openxmlformats.org/officeDocument/2006/relationships/image" Target="../media/image2.wmf"/><Relationship Id="rId69" Type="http://schemas.openxmlformats.org/officeDocument/2006/relationships/image" Target="../media/image33.wmf"/><Relationship Id="rId68" Type="http://schemas.openxmlformats.org/officeDocument/2006/relationships/control" Target="../activeX/activeX33.xml"/><Relationship Id="rId67" Type="http://schemas.openxmlformats.org/officeDocument/2006/relationships/image" Target="../media/image32.wmf"/><Relationship Id="rId66" Type="http://schemas.openxmlformats.org/officeDocument/2006/relationships/control" Target="../activeX/activeX32.xml"/><Relationship Id="rId65" Type="http://schemas.openxmlformats.org/officeDocument/2006/relationships/image" Target="../media/image31.wmf"/><Relationship Id="rId64" Type="http://schemas.openxmlformats.org/officeDocument/2006/relationships/control" Target="../activeX/activeX31.xml"/><Relationship Id="rId63" Type="http://schemas.openxmlformats.org/officeDocument/2006/relationships/image" Target="../media/image30.wmf"/><Relationship Id="rId62" Type="http://schemas.openxmlformats.org/officeDocument/2006/relationships/control" Target="../activeX/activeX30.xml"/><Relationship Id="rId61" Type="http://schemas.openxmlformats.org/officeDocument/2006/relationships/image" Target="../media/image29.wmf"/><Relationship Id="rId60" Type="http://schemas.openxmlformats.org/officeDocument/2006/relationships/control" Target="../activeX/activeX29.xml"/><Relationship Id="rId6" Type="http://schemas.openxmlformats.org/officeDocument/2006/relationships/control" Target="../activeX/activeX2.xml"/><Relationship Id="rId59" Type="http://schemas.openxmlformats.org/officeDocument/2006/relationships/image" Target="../media/image28.wmf"/><Relationship Id="rId58" Type="http://schemas.openxmlformats.org/officeDocument/2006/relationships/control" Target="../activeX/activeX28.xml"/><Relationship Id="rId57" Type="http://schemas.openxmlformats.org/officeDocument/2006/relationships/image" Target="../media/image27.wmf"/><Relationship Id="rId56" Type="http://schemas.openxmlformats.org/officeDocument/2006/relationships/control" Target="../activeX/activeX27.xml"/><Relationship Id="rId55" Type="http://schemas.openxmlformats.org/officeDocument/2006/relationships/image" Target="../media/image26.wmf"/><Relationship Id="rId54" Type="http://schemas.openxmlformats.org/officeDocument/2006/relationships/control" Target="../activeX/activeX26.xml"/><Relationship Id="rId53" Type="http://schemas.openxmlformats.org/officeDocument/2006/relationships/image" Target="../media/image25.wmf"/><Relationship Id="rId52" Type="http://schemas.openxmlformats.org/officeDocument/2006/relationships/control" Target="../activeX/activeX25.xml"/><Relationship Id="rId51" Type="http://schemas.openxmlformats.org/officeDocument/2006/relationships/image" Target="../media/image24.wmf"/><Relationship Id="rId50" Type="http://schemas.openxmlformats.org/officeDocument/2006/relationships/control" Target="../activeX/activeX24.xml"/><Relationship Id="rId5" Type="http://schemas.openxmlformats.org/officeDocument/2006/relationships/image" Target="../media/image1.wmf"/><Relationship Id="rId49" Type="http://schemas.openxmlformats.org/officeDocument/2006/relationships/image" Target="../media/image23.wmf"/><Relationship Id="rId48" Type="http://schemas.openxmlformats.org/officeDocument/2006/relationships/control" Target="../activeX/activeX23.xml"/><Relationship Id="rId47" Type="http://schemas.openxmlformats.org/officeDocument/2006/relationships/image" Target="../media/image22.wmf"/><Relationship Id="rId46" Type="http://schemas.openxmlformats.org/officeDocument/2006/relationships/control" Target="../activeX/activeX22.xml"/><Relationship Id="rId45" Type="http://schemas.openxmlformats.org/officeDocument/2006/relationships/image" Target="../media/image21.wmf"/><Relationship Id="rId44" Type="http://schemas.openxmlformats.org/officeDocument/2006/relationships/control" Target="../activeX/activeX21.xml"/><Relationship Id="rId43" Type="http://schemas.openxmlformats.org/officeDocument/2006/relationships/image" Target="../media/image20.wmf"/><Relationship Id="rId42" Type="http://schemas.openxmlformats.org/officeDocument/2006/relationships/control" Target="../activeX/activeX20.xml"/><Relationship Id="rId41" Type="http://schemas.openxmlformats.org/officeDocument/2006/relationships/image" Target="../media/image19.wmf"/><Relationship Id="rId40" Type="http://schemas.openxmlformats.org/officeDocument/2006/relationships/control" Target="../activeX/activeX19.xml"/><Relationship Id="rId4" Type="http://schemas.openxmlformats.org/officeDocument/2006/relationships/control" Target="../activeX/activeX1.xml"/><Relationship Id="rId39" Type="http://schemas.openxmlformats.org/officeDocument/2006/relationships/image" Target="../media/image18.wmf"/><Relationship Id="rId38" Type="http://schemas.openxmlformats.org/officeDocument/2006/relationships/control" Target="../activeX/activeX18.xml"/><Relationship Id="rId37" Type="http://schemas.openxmlformats.org/officeDocument/2006/relationships/image" Target="../media/image17.wmf"/><Relationship Id="rId36" Type="http://schemas.openxmlformats.org/officeDocument/2006/relationships/control" Target="../activeX/activeX17.xml"/><Relationship Id="rId35" Type="http://schemas.openxmlformats.org/officeDocument/2006/relationships/image" Target="../media/image16.wmf"/><Relationship Id="rId34" Type="http://schemas.openxmlformats.org/officeDocument/2006/relationships/control" Target="../activeX/activeX16.xml"/><Relationship Id="rId33" Type="http://schemas.openxmlformats.org/officeDocument/2006/relationships/image" Target="../media/image15.wmf"/><Relationship Id="rId32" Type="http://schemas.openxmlformats.org/officeDocument/2006/relationships/control" Target="../activeX/activeX15.xml"/><Relationship Id="rId31" Type="http://schemas.openxmlformats.org/officeDocument/2006/relationships/image" Target="../media/image14.wmf"/><Relationship Id="rId30" Type="http://schemas.openxmlformats.org/officeDocument/2006/relationships/control" Target="../activeX/activeX14.xml"/><Relationship Id="rId3" Type="http://schemas.openxmlformats.org/officeDocument/2006/relationships/vmlDrawing" Target="../drawings/vmlDrawing1.vml"/><Relationship Id="rId29" Type="http://schemas.openxmlformats.org/officeDocument/2006/relationships/image" Target="../media/image13.wmf"/><Relationship Id="rId28" Type="http://schemas.openxmlformats.org/officeDocument/2006/relationships/control" Target="../activeX/activeX13.xml"/><Relationship Id="rId27" Type="http://schemas.openxmlformats.org/officeDocument/2006/relationships/image" Target="../media/image12.wmf"/><Relationship Id="rId26" Type="http://schemas.openxmlformats.org/officeDocument/2006/relationships/control" Target="../activeX/activeX12.xml"/><Relationship Id="rId25" Type="http://schemas.openxmlformats.org/officeDocument/2006/relationships/image" Target="../media/image11.wmf"/><Relationship Id="rId24" Type="http://schemas.openxmlformats.org/officeDocument/2006/relationships/control" Target="../activeX/activeX11.xml"/><Relationship Id="rId23" Type="http://schemas.openxmlformats.org/officeDocument/2006/relationships/image" Target="../media/image10.wmf"/><Relationship Id="rId22" Type="http://schemas.openxmlformats.org/officeDocument/2006/relationships/control" Target="../activeX/activeX10.xml"/><Relationship Id="rId21" Type="http://schemas.openxmlformats.org/officeDocument/2006/relationships/image" Target="../media/image9.wmf"/><Relationship Id="rId20" Type="http://schemas.openxmlformats.org/officeDocument/2006/relationships/control" Target="../activeX/activeX9.xml"/><Relationship Id="rId2" Type="http://schemas.openxmlformats.org/officeDocument/2006/relationships/drawing" Target="../drawings/drawing1.xml"/><Relationship Id="rId19" Type="http://schemas.openxmlformats.org/officeDocument/2006/relationships/image" Target="../media/image8.wmf"/><Relationship Id="rId18" Type="http://schemas.openxmlformats.org/officeDocument/2006/relationships/control" Target="../activeX/activeX8.xml"/><Relationship Id="rId17" Type="http://schemas.openxmlformats.org/officeDocument/2006/relationships/image" Target="../media/image7.wmf"/><Relationship Id="rId16" Type="http://schemas.openxmlformats.org/officeDocument/2006/relationships/control" Target="../activeX/activeX7.xml"/><Relationship Id="rId15" Type="http://schemas.openxmlformats.org/officeDocument/2006/relationships/image" Target="../media/image6.wmf"/><Relationship Id="rId14" Type="http://schemas.openxmlformats.org/officeDocument/2006/relationships/control" Target="../activeX/activeX6.xml"/><Relationship Id="rId13" Type="http://schemas.openxmlformats.org/officeDocument/2006/relationships/image" Target="../media/image5.wmf"/><Relationship Id="rId12" Type="http://schemas.openxmlformats.org/officeDocument/2006/relationships/control" Target="../activeX/activeX5.xml"/><Relationship Id="rId11" Type="http://schemas.openxmlformats.org/officeDocument/2006/relationships/image" Target="../media/image4.wmf"/><Relationship Id="rId104" Type="http://schemas.openxmlformats.org/officeDocument/2006/relationships/ctrlProp" Target="../ctrlProps/ctrlProp52.xml"/><Relationship Id="rId103" Type="http://schemas.openxmlformats.org/officeDocument/2006/relationships/ctrlProp" Target="../ctrlProps/ctrlProp51.xml"/><Relationship Id="rId102" Type="http://schemas.openxmlformats.org/officeDocument/2006/relationships/ctrlProp" Target="../ctrlProps/ctrlProp50.xml"/><Relationship Id="rId101" Type="http://schemas.openxmlformats.org/officeDocument/2006/relationships/image" Target="../media/image49.wmf"/><Relationship Id="rId100" Type="http://schemas.openxmlformats.org/officeDocument/2006/relationships/control" Target="../activeX/activeX49.xml"/><Relationship Id="rId10" Type="http://schemas.openxmlformats.org/officeDocument/2006/relationships/control" Target="../activeX/activeX4.x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M40"/>
  <sheetViews>
    <sheetView workbookViewId="0">
      <pane xSplit="4" ySplit="2" topLeftCell="E3" activePane="bottomRight" state="frozen"/>
      <selection/>
      <selection pane="topRight"/>
      <selection pane="bottomLeft"/>
      <selection pane="bottomRight" activeCell="E35" sqref="E35"/>
    </sheetView>
  </sheetViews>
  <sheetFormatPr defaultColWidth="11.2" defaultRowHeight="15.75"/>
  <cols>
    <col min="1" max="1" width="9.2" style="4" customWidth="1"/>
    <col min="2" max="2" width="21.5" style="4" customWidth="1"/>
    <col min="3" max="3" width="32.6" style="4" customWidth="1"/>
    <col min="4" max="13" width="40.7" style="4" customWidth="1"/>
    <col min="14" max="16384" width="11.2" style="4"/>
  </cols>
  <sheetData>
    <row r="1" ht="30" customHeight="1" spans="1:13">
      <c r="A1" s="20"/>
      <c r="B1" s="20" t="s">
        <v>0</v>
      </c>
      <c r="C1" s="20" t="s">
        <v>1</v>
      </c>
      <c r="D1" s="20" t="s">
        <v>2</v>
      </c>
      <c r="E1" s="20" t="s">
        <v>3</v>
      </c>
      <c r="F1" s="20" t="s">
        <v>4</v>
      </c>
      <c r="G1" s="20" t="s">
        <v>5</v>
      </c>
      <c r="H1" s="20" t="s">
        <v>6</v>
      </c>
      <c r="I1" s="20" t="s">
        <v>7</v>
      </c>
      <c r="J1" s="20" t="s">
        <v>8</v>
      </c>
      <c r="K1" s="20" t="s">
        <v>9</v>
      </c>
      <c r="L1" s="20" t="s">
        <v>10</v>
      </c>
      <c r="M1" s="20" t="s">
        <v>11</v>
      </c>
    </row>
    <row r="2" ht="16.05" customHeight="1" spans="1:13">
      <c r="A2" s="38" t="s">
        <v>12</v>
      </c>
      <c r="B2" s="21" t="s">
        <v>13</v>
      </c>
      <c r="C2" s="20" t="s">
        <v>14</v>
      </c>
      <c r="D2" s="34">
        <f>COUNT(现象研究记录数目)</f>
        <v>27</v>
      </c>
      <c r="E2" s="34">
        <f>COUNT(现象研究记录数目)+1</f>
        <v>28</v>
      </c>
      <c r="F2" s="34">
        <f>COUNT(现象研究记录数目)+2</f>
        <v>29</v>
      </c>
      <c r="G2" s="34">
        <f>COUNT(现象研究记录数目)+3</f>
        <v>30</v>
      </c>
      <c r="H2" s="34">
        <f>COUNT(现象研究记录数目)+4</f>
        <v>31</v>
      </c>
      <c r="I2" s="34">
        <f>COUNT(现象研究记录数目)+5</f>
        <v>32</v>
      </c>
      <c r="J2" s="34">
        <f>COUNT(现象研究记录数目)+6</f>
        <v>33</v>
      </c>
      <c r="K2" s="34">
        <f>COUNT(现象研究记录数目)+7</f>
        <v>34</v>
      </c>
      <c r="L2" s="34">
        <f>COUNT(现象研究记录数目)+8</f>
        <v>35</v>
      </c>
      <c r="M2" s="34">
        <f>COUNT(现象研究记录数目)+9</f>
        <v>36</v>
      </c>
    </row>
    <row r="3" s="35" customFormat="1" ht="40.05" customHeight="1" spans="1:5">
      <c r="A3" s="38"/>
      <c r="B3" s="21" t="s">
        <v>15</v>
      </c>
      <c r="C3" s="21" t="s">
        <v>16</v>
      </c>
      <c r="D3" s="39" t="s">
        <v>17</v>
      </c>
      <c r="E3" s="40" t="s">
        <v>17</v>
      </c>
    </row>
    <row r="4" spans="1:5">
      <c r="A4" s="38"/>
      <c r="B4" s="34" t="s">
        <v>18</v>
      </c>
      <c r="C4" s="20" t="s">
        <v>19</v>
      </c>
      <c r="D4" s="41" t="s">
        <v>20</v>
      </c>
      <c r="E4" s="42" t="s">
        <v>20</v>
      </c>
    </row>
    <row r="5" ht="31.95" customHeight="1" spans="1:5">
      <c r="A5" s="38" t="s">
        <v>21</v>
      </c>
      <c r="B5" s="20" t="s">
        <v>22</v>
      </c>
      <c r="C5" s="20" t="s">
        <v>23</v>
      </c>
      <c r="D5" s="39" t="s">
        <v>24</v>
      </c>
      <c r="E5" s="42" t="s">
        <v>24</v>
      </c>
    </row>
    <row r="6" ht="16.05" customHeight="1" spans="1:5">
      <c r="A6" s="38"/>
      <c r="B6" s="34" t="s">
        <v>25</v>
      </c>
      <c r="C6" s="22" t="s">
        <v>26</v>
      </c>
      <c r="D6" s="39" t="s">
        <v>27</v>
      </c>
      <c r="E6" s="42" t="s">
        <v>27</v>
      </c>
    </row>
    <row r="7" spans="1:5">
      <c r="A7" s="38"/>
      <c r="B7" s="20" t="s">
        <v>28</v>
      </c>
      <c r="C7" s="20" t="s">
        <v>29</v>
      </c>
      <c r="D7" s="41" t="s">
        <v>30</v>
      </c>
      <c r="E7" s="42" t="s">
        <v>30</v>
      </c>
    </row>
    <row r="8" spans="1:5">
      <c r="A8" s="38"/>
      <c r="B8" s="20" t="s">
        <v>31</v>
      </c>
      <c r="C8" s="20" t="s">
        <v>32</v>
      </c>
      <c r="D8" s="41" t="s">
        <v>33</v>
      </c>
      <c r="E8" s="42" t="s">
        <v>33</v>
      </c>
    </row>
    <row r="9" ht="15.6" customHeight="1" spans="1:5">
      <c r="A9" s="38" t="s">
        <v>34</v>
      </c>
      <c r="B9" s="43" t="s">
        <v>35</v>
      </c>
      <c r="C9" s="20" t="s">
        <v>36</v>
      </c>
      <c r="D9" s="41" t="s">
        <v>37</v>
      </c>
      <c r="E9" s="42" t="s">
        <v>37</v>
      </c>
    </row>
    <row r="10" ht="31.5" spans="1:5">
      <c r="A10" s="38"/>
      <c r="B10" s="43" t="s">
        <v>38</v>
      </c>
      <c r="C10" s="21" t="s">
        <v>39</v>
      </c>
      <c r="D10" s="41" t="s">
        <v>40</v>
      </c>
      <c r="E10" s="42" t="s">
        <v>40</v>
      </c>
    </row>
    <row r="11" spans="1:5">
      <c r="A11" s="38"/>
      <c r="B11" s="43" t="s">
        <v>41</v>
      </c>
      <c r="C11" s="21" t="s">
        <v>42</v>
      </c>
      <c r="D11" s="41" t="s">
        <v>43</v>
      </c>
      <c r="E11" s="42" t="s">
        <v>43</v>
      </c>
    </row>
    <row r="12" spans="1:5">
      <c r="A12" s="38"/>
      <c r="B12" s="43" t="s">
        <v>44</v>
      </c>
      <c r="C12" s="21" t="s">
        <v>45</v>
      </c>
      <c r="D12" s="41" t="s">
        <v>46</v>
      </c>
      <c r="E12" s="42" t="s">
        <v>46</v>
      </c>
    </row>
    <row r="13" spans="1:5">
      <c r="A13" s="38"/>
      <c r="B13" s="43" t="s">
        <v>47</v>
      </c>
      <c r="C13" s="21" t="s">
        <v>48</v>
      </c>
      <c r="D13" s="44" t="s">
        <v>49</v>
      </c>
      <c r="E13" s="42" t="s">
        <v>49</v>
      </c>
    </row>
    <row r="14" spans="1:5">
      <c r="A14" s="38"/>
      <c r="B14" s="43" t="s">
        <v>50</v>
      </c>
      <c r="C14" s="20" t="s">
        <v>51</v>
      </c>
      <c r="D14" s="41" t="s">
        <v>52</v>
      </c>
      <c r="E14" s="42" t="s">
        <v>52</v>
      </c>
    </row>
    <row r="15" ht="31.5" spans="1:5">
      <c r="A15" s="38"/>
      <c r="B15" s="43" t="s">
        <v>53</v>
      </c>
      <c r="C15" s="21" t="s">
        <v>54</v>
      </c>
      <c r="D15" s="41" t="s">
        <v>46</v>
      </c>
      <c r="E15" s="42" t="s">
        <v>46</v>
      </c>
    </row>
    <row r="16" spans="1:5">
      <c r="A16" s="38"/>
      <c r="B16" s="43" t="s">
        <v>55</v>
      </c>
      <c r="C16" s="21" t="s">
        <v>56</v>
      </c>
      <c r="D16" s="41" t="s">
        <v>46</v>
      </c>
      <c r="E16" s="42" t="s">
        <v>46</v>
      </c>
    </row>
    <row r="17" spans="1:5">
      <c r="A17" s="38"/>
      <c r="B17" s="43" t="s">
        <v>57</v>
      </c>
      <c r="C17" s="21" t="s">
        <v>58</v>
      </c>
      <c r="D17" s="41" t="s">
        <v>46</v>
      </c>
      <c r="E17" s="42" t="s">
        <v>46</v>
      </c>
    </row>
    <row r="18" spans="1:5">
      <c r="A18" s="38"/>
      <c r="B18" s="43" t="s">
        <v>59</v>
      </c>
      <c r="C18" s="21" t="s">
        <v>60</v>
      </c>
      <c r="D18" s="41" t="s">
        <v>46</v>
      </c>
      <c r="E18" s="42" t="s">
        <v>46</v>
      </c>
    </row>
    <row r="19" spans="1:5">
      <c r="A19" s="38" t="s">
        <v>61</v>
      </c>
      <c r="B19" s="43" t="s">
        <v>62</v>
      </c>
      <c r="C19" s="21" t="s">
        <v>63</v>
      </c>
      <c r="D19" s="41" t="s">
        <v>52</v>
      </c>
      <c r="E19" s="42" t="s">
        <v>52</v>
      </c>
    </row>
    <row r="20" spans="1:5">
      <c r="A20" s="38"/>
      <c r="B20" s="43" t="s">
        <v>64</v>
      </c>
      <c r="C20" s="21" t="s">
        <v>65</v>
      </c>
      <c r="D20" s="41" t="s">
        <v>46</v>
      </c>
      <c r="E20" s="42" t="s">
        <v>46</v>
      </c>
    </row>
    <row r="21" spans="1:5">
      <c r="A21" s="38"/>
      <c r="B21" s="43" t="s">
        <v>66</v>
      </c>
      <c r="C21" s="21" t="s">
        <v>67</v>
      </c>
      <c r="D21" s="41" t="s">
        <v>46</v>
      </c>
      <c r="E21" s="42" t="s">
        <v>46</v>
      </c>
    </row>
    <row r="22" spans="1:5">
      <c r="A22" s="38"/>
      <c r="B22" s="43" t="s">
        <v>68</v>
      </c>
      <c r="C22" s="21" t="s">
        <v>69</v>
      </c>
      <c r="D22" s="41" t="s">
        <v>70</v>
      </c>
      <c r="E22" s="42" t="s">
        <v>70</v>
      </c>
    </row>
    <row r="23" spans="1:5">
      <c r="A23" s="38"/>
      <c r="B23" s="43" t="s">
        <v>71</v>
      </c>
      <c r="C23" s="21" t="s">
        <v>72</v>
      </c>
      <c r="D23" s="41" t="s">
        <v>46</v>
      </c>
      <c r="E23" s="42" t="s">
        <v>46</v>
      </c>
    </row>
    <row r="24" spans="1:5">
      <c r="A24" s="38"/>
      <c r="B24" s="43" t="s">
        <v>73</v>
      </c>
      <c r="C24" s="21" t="s">
        <v>74</v>
      </c>
      <c r="D24" s="41" t="s">
        <v>46</v>
      </c>
      <c r="E24" s="42" t="s">
        <v>46</v>
      </c>
    </row>
    <row r="25" spans="1:5">
      <c r="A25" s="38" t="s">
        <v>75</v>
      </c>
      <c r="B25" s="43" t="s">
        <v>76</v>
      </c>
      <c r="C25" s="21" t="s">
        <v>77</v>
      </c>
      <c r="D25" s="41" t="s">
        <v>37</v>
      </c>
      <c r="E25" s="42" t="s">
        <v>37</v>
      </c>
    </row>
    <row r="26" spans="1:5">
      <c r="A26" s="38"/>
      <c r="B26" s="43" t="s">
        <v>78</v>
      </c>
      <c r="C26" s="21" t="s">
        <v>79</v>
      </c>
      <c r="D26" s="41" t="s">
        <v>80</v>
      </c>
      <c r="E26" s="42" t="s">
        <v>80</v>
      </c>
    </row>
    <row r="27" spans="1:5">
      <c r="A27" s="38"/>
      <c r="B27" s="43" t="s">
        <v>81</v>
      </c>
      <c r="C27" s="21" t="s">
        <v>82</v>
      </c>
      <c r="D27" s="41" t="s">
        <v>83</v>
      </c>
      <c r="E27" s="42" t="s">
        <v>83</v>
      </c>
    </row>
    <row r="28" spans="1:5">
      <c r="A28" s="45" t="s">
        <v>84</v>
      </c>
      <c r="B28" s="34" t="s">
        <v>85</v>
      </c>
      <c r="C28" s="20" t="s">
        <v>86</v>
      </c>
      <c r="D28" s="41" t="s">
        <v>46</v>
      </c>
      <c r="E28" s="42" t="s">
        <v>46</v>
      </c>
    </row>
    <row r="29" spans="1:5">
      <c r="A29" s="45"/>
      <c r="B29" s="34" t="s">
        <v>87</v>
      </c>
      <c r="C29" s="20" t="s">
        <v>88</v>
      </c>
      <c r="D29" s="41" t="s">
        <v>89</v>
      </c>
      <c r="E29" s="42" t="s">
        <v>89</v>
      </c>
    </row>
    <row r="30" spans="1:5">
      <c r="A30" s="45"/>
      <c r="B30" s="34" t="s">
        <v>90</v>
      </c>
      <c r="C30" s="20" t="s">
        <v>91</v>
      </c>
      <c r="D30" s="41" t="s">
        <v>46</v>
      </c>
      <c r="E30" s="42" t="s">
        <v>46</v>
      </c>
    </row>
    <row r="31" spans="1:5">
      <c r="A31" s="46" t="s">
        <v>92</v>
      </c>
      <c r="B31" s="20" t="s">
        <v>93</v>
      </c>
      <c r="C31" s="20" t="s">
        <v>94</v>
      </c>
      <c r="D31" s="41" t="s">
        <v>95</v>
      </c>
      <c r="E31" s="42" t="s">
        <v>95</v>
      </c>
    </row>
    <row r="32" spans="1:5">
      <c r="A32" s="38"/>
      <c r="B32" s="20" t="s">
        <v>96</v>
      </c>
      <c r="C32" s="20" t="s">
        <v>97</v>
      </c>
      <c r="D32" s="41" t="s">
        <v>98</v>
      </c>
      <c r="E32" s="42" t="s">
        <v>98</v>
      </c>
    </row>
    <row r="33" s="36" customFormat="1" ht="100.05" customHeight="1" spans="1:5">
      <c r="A33" s="38" t="s">
        <v>99</v>
      </c>
      <c r="B33" s="34" t="s">
        <v>100</v>
      </c>
      <c r="C33" s="31" t="s">
        <v>101</v>
      </c>
      <c r="D33" s="39" t="s">
        <v>102</v>
      </c>
      <c r="E33" s="47" t="s">
        <v>102</v>
      </c>
    </row>
    <row r="34" spans="1:5">
      <c r="A34" s="38"/>
      <c r="B34" s="20" t="s">
        <v>103</v>
      </c>
      <c r="C34" s="20" t="s">
        <v>104</v>
      </c>
      <c r="D34" s="44" t="s">
        <v>105</v>
      </c>
      <c r="E34" s="42" t="s">
        <v>105</v>
      </c>
    </row>
    <row r="35" s="37" customFormat="1" spans="1:5">
      <c r="A35" s="38"/>
      <c r="B35" s="20" t="s">
        <v>106</v>
      </c>
      <c r="C35" s="20" t="s">
        <v>107</v>
      </c>
      <c r="D35" s="48">
        <f ca="1">NOW()</f>
        <v>43486.3788888889</v>
      </c>
      <c r="E35" s="49">
        <f ca="1">NOW()</f>
        <v>43486.3788888889</v>
      </c>
    </row>
    <row r="36" spans="1:13">
      <c r="A36" s="5"/>
      <c r="B36" s="5"/>
      <c r="C36" s="5"/>
      <c r="D36" s="50"/>
      <c r="E36" s="5"/>
      <c r="F36" s="5"/>
      <c r="G36" s="5"/>
      <c r="H36" s="5"/>
      <c r="I36" s="5"/>
      <c r="J36" s="5"/>
      <c r="K36" s="5"/>
      <c r="L36" s="5"/>
      <c r="M36" s="5"/>
    </row>
    <row r="37" spans="1:13">
      <c r="A37" s="5"/>
      <c r="B37" s="50"/>
      <c r="C37" s="5"/>
      <c r="D37" s="50" t="str">
        <f ca="1">IF(AND(D3&lt;&gt;"",D4&lt;&gt;"",D5&lt;&gt;"",D6&lt;&gt;"",D7&lt;&gt;"",D8&lt;&gt;"",D9&lt;&gt;"",D10&lt;&gt;"",D11&lt;&gt;"",D12&lt;&gt;"",D13&lt;&gt;"",D14&lt;&gt;"",D15&lt;&gt;"",D16&lt;&gt;"",D17&lt;&gt;"",D18&lt;&gt;"",D19&lt;&gt;"",D20&lt;&gt;"",D21&lt;&gt;"",D22&lt;&gt;"",D23&lt;&gt;"",D24&lt;&gt;"",D25&lt;&gt;"",D26&lt;&gt;"",D27&lt;&gt;"",D28&lt;&gt;"",D29&lt;&gt;"",D30&lt;&gt;"",D31&lt;&gt;"",D32&lt;&gt;"",D33&lt;&gt;"",D34&lt;&gt;"",D35&lt;&gt;""),"信息填写完整","信息填写不完整")</f>
        <v>信息填写完整</v>
      </c>
      <c r="E37" s="5"/>
      <c r="F37" s="5"/>
      <c r="G37" s="5"/>
      <c r="H37" s="5"/>
      <c r="I37" s="5"/>
      <c r="J37" s="5"/>
      <c r="K37" s="5"/>
      <c r="L37" s="5"/>
      <c r="M37" s="5"/>
    </row>
    <row r="38" spans="1:13">
      <c r="A38" s="5"/>
      <c r="B38" s="50"/>
      <c r="C38" s="5"/>
      <c r="D38" s="50"/>
      <c r="E38" s="5"/>
      <c r="F38" s="5"/>
      <c r="G38" s="5"/>
      <c r="H38" s="5"/>
      <c r="I38" s="5"/>
      <c r="J38" s="5"/>
      <c r="K38" s="5"/>
      <c r="L38" s="5"/>
      <c r="M38" s="5"/>
    </row>
    <row r="39" spans="1:13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</row>
    <row r="40" spans="1:1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</row>
  </sheetData>
  <sheetProtection password="EF45" sheet="1" selectLockedCells="1" objects="1"/>
  <mergeCells count="10">
    <mergeCell ref="A2:A4"/>
    <mergeCell ref="A5:A8"/>
    <mergeCell ref="A9:A18"/>
    <mergeCell ref="A19:A24"/>
    <mergeCell ref="A25:A27"/>
    <mergeCell ref="A28:A30"/>
    <mergeCell ref="A31:A32"/>
    <mergeCell ref="A33:A35"/>
    <mergeCell ref="B37:B38"/>
    <mergeCell ref="D37:D38"/>
  </mergeCells>
  <dataValidations count="12">
    <dataValidation type="list" allowBlank="1" showInputMessage="1" showErrorMessage="1" sqref="D5">
      <formula1>后台选项!$A$3:$A$36</formula1>
    </dataValidation>
    <dataValidation allowBlank="1" showInputMessage="1" sqref="D11 D13 D16 D18"/>
    <dataValidation type="list" allowBlank="1" showInputMessage="1" showErrorMessage="1" sqref="D10 D15">
      <formula1>后台选项!$A$75:$A$82</formula1>
    </dataValidation>
    <dataValidation type="list" allowBlank="1" showInputMessage="1" showErrorMessage="1" errorTitle="非设置选项" error="是否确认手动输入信息？" sqref="D6" errorStyle="information">
      <formula1>INDIRECT($D$5)</formula1>
    </dataValidation>
    <dataValidation type="list" allowBlank="1" showInputMessage="1" showErrorMessage="1" sqref="D26">
      <formula1>后台选项!$A$102:$A$105</formula1>
    </dataValidation>
    <dataValidation type="list" allowBlank="1" showInputMessage="1" showErrorMessage="1" sqref="D7">
      <formula1>后台选项!$A$39:$A$42</formula1>
    </dataValidation>
    <dataValidation type="list" allowBlank="1" showInputMessage="1" showErrorMessage="1" sqref="D9 D14 D19 D22 D25">
      <formula1>后台选项!$A$71:$A$72</formula1>
    </dataValidation>
    <dataValidation type="list" allowBlank="1" showInputMessage="1" showErrorMessage="1" sqref="D20 D23">
      <formula1>后台选项!$A$95:$A$99</formula1>
    </dataValidation>
    <dataValidation type="list" allowBlank="1" showInputMessage="1" sqref="D12 D17 D29">
      <formula1>后台选项!$A$85:$A$86</formula1>
    </dataValidation>
    <dataValidation type="list" allowBlank="1" showInputMessage="1" sqref="D28">
      <formula1>后台选项!$A$48:$A$58</formula1>
    </dataValidation>
    <dataValidation type="list" allowBlank="1" showInputMessage="1" sqref="D30">
      <formula1>后台选项!$A$61:$A$68</formula1>
    </dataValidation>
    <dataValidation type="list" allowBlank="1" showInputMessage="1" showErrorMessage="1" errorTitle="非设置选项" error="是否确认手动输入信息？" sqref="D32" errorStyle="information">
      <formula1>后台选项!$A$108:$A$110</formula1>
    </dataValidation>
  </dataValidations>
  <pageMargins left="0.7" right="0.7" top="0.75" bottom="0.75" header="0.3" footer="0.3"/>
  <pageSetup paperSize="9" orientation="portrait"/>
  <headerFooter/>
  <drawing r:id="rId2"/>
  <legacyDrawing r:id="rId3"/>
  <controls>
    <mc:AlternateContent xmlns:mc="http://schemas.openxmlformats.org/markup-compatibility/2006">
      <mc:Choice Requires="x14">
        <control shapeId="1060" r:id="rId4" name="CommandButton12">
          <controlPr defaultSize="0" r:id="rId5" disabled="1">
            <anchor moveWithCells="1">
              <from>
                <xdr:col>4</xdr:col>
                <xdr:colOff>1074420</xdr:colOff>
                <xdr:row>36</xdr:row>
                <xdr:rowOff>7620</xdr:rowOff>
              </from>
              <to>
                <xdr:col>4</xdr:col>
                <xdr:colOff>2080260</xdr:colOff>
                <xdr:row>37</xdr:row>
                <xdr:rowOff>167640</xdr:rowOff>
              </to>
            </anchor>
          </controlPr>
        </control>
      </mc:Choice>
      <mc:Fallback>
        <control shapeId="1060" r:id="rId4" name="CommandButton12"/>
      </mc:Fallback>
    </mc:AlternateContent>
    <mc:AlternateContent xmlns:mc="http://schemas.openxmlformats.org/markup-compatibility/2006">
      <mc:Choice Requires="x14">
        <control shapeId="1061" r:id="rId6" name="CommandButton13">
          <controlPr defaultSize="0" r:id="rId7" disabled="1">
            <anchor moveWithCells="1">
              <from>
                <xdr:col>4</xdr:col>
                <xdr:colOff>2095500</xdr:colOff>
                <xdr:row>36</xdr:row>
                <xdr:rowOff>7620</xdr:rowOff>
              </from>
              <to>
                <xdr:col>5</xdr:col>
                <xdr:colOff>0</xdr:colOff>
                <xdr:row>37</xdr:row>
                <xdr:rowOff>167640</xdr:rowOff>
              </to>
            </anchor>
          </controlPr>
        </control>
      </mc:Choice>
      <mc:Fallback>
        <control shapeId="1061" r:id="rId6" name="CommandButton13"/>
      </mc:Fallback>
    </mc:AlternateContent>
    <mc:AlternateContent xmlns:mc="http://schemas.openxmlformats.org/markup-compatibility/2006">
      <mc:Choice Requires="x14">
        <control shapeId="1062" r:id="rId8" name="ToggleButton11">
          <controlPr defaultSize="0" r:id="rId9" disabled="1">
            <anchor moveWithCells="1">
              <from>
                <xdr:col>4</xdr:col>
                <xdr:colOff>30480</xdr:colOff>
                <xdr:row>38</xdr:row>
                <xdr:rowOff>22860</xdr:rowOff>
              </from>
              <to>
                <xdr:col>4</xdr:col>
                <xdr:colOff>1036320</xdr:colOff>
                <xdr:row>39</xdr:row>
                <xdr:rowOff>182880</xdr:rowOff>
              </to>
            </anchor>
          </controlPr>
        </control>
      </mc:Choice>
      <mc:Fallback>
        <control shapeId="1062" r:id="rId8" name="ToggleButton11"/>
      </mc:Fallback>
    </mc:AlternateContent>
    <mc:AlternateContent xmlns:mc="http://schemas.openxmlformats.org/markup-compatibility/2006">
      <mc:Choice Requires="x14">
        <control shapeId="1063" r:id="rId10" name="ToggleButton12">
          <controlPr defaultSize="0" r:id="rId11">
            <anchor moveWithCells="1">
              <from>
                <xdr:col>4</xdr:col>
                <xdr:colOff>1066800</xdr:colOff>
                <xdr:row>38</xdr:row>
                <xdr:rowOff>22860</xdr:rowOff>
              </from>
              <to>
                <xdr:col>4</xdr:col>
                <xdr:colOff>2072640</xdr:colOff>
                <xdr:row>39</xdr:row>
                <xdr:rowOff>182880</xdr:rowOff>
              </to>
            </anchor>
          </controlPr>
        </control>
      </mc:Choice>
      <mc:Fallback>
        <control shapeId="1063" r:id="rId10" name="ToggleButton12"/>
      </mc:Fallback>
    </mc:AlternateContent>
    <mc:AlternateContent xmlns:mc="http://schemas.openxmlformats.org/markup-compatibility/2006">
      <mc:Choice Requires="x14">
        <control shapeId="1069" r:id="rId12" name="CommandButton11">
          <controlPr defaultSize="0" r:id="rId13" disabled="1">
            <anchor moveWithCells="1">
              <from>
                <xdr:col>4</xdr:col>
                <xdr:colOff>45720</xdr:colOff>
                <xdr:row>36</xdr:row>
                <xdr:rowOff>7620</xdr:rowOff>
              </from>
              <to>
                <xdr:col>4</xdr:col>
                <xdr:colOff>1051560</xdr:colOff>
                <xdr:row>37</xdr:row>
                <xdr:rowOff>167640</xdr:rowOff>
              </to>
            </anchor>
          </controlPr>
        </control>
      </mc:Choice>
      <mc:Fallback>
        <control shapeId="1069" r:id="rId12" name="CommandButton11"/>
      </mc:Fallback>
    </mc:AlternateContent>
    <mc:AlternateContent xmlns:mc="http://schemas.openxmlformats.org/markup-compatibility/2006">
      <mc:Choice Requires="x14">
        <control shapeId="1071" r:id="rId14" name="CommandButton01">
          <controlPr defaultSize="0" r:id="rId15">
            <anchor moveWithCells="1">
              <from>
                <xdr:col>1</xdr:col>
                <xdr:colOff>45720</xdr:colOff>
                <xdr:row>36</xdr:row>
                <xdr:rowOff>15240</xdr:rowOff>
              </from>
              <to>
                <xdr:col>1</xdr:col>
                <xdr:colOff>1485900</xdr:colOff>
                <xdr:row>37</xdr:row>
                <xdr:rowOff>175260</xdr:rowOff>
              </to>
            </anchor>
          </controlPr>
        </control>
      </mc:Choice>
      <mc:Fallback>
        <control shapeId="1071" r:id="rId14" name="CommandButton01"/>
      </mc:Fallback>
    </mc:AlternateContent>
    <mc:AlternateContent xmlns:mc="http://schemas.openxmlformats.org/markup-compatibility/2006">
      <mc:Choice Requires="x14">
        <control shapeId="1074" r:id="rId16" name="CommandButton21">
          <controlPr defaultSize="0" r:id="rId17">
            <anchor moveWithCells="1">
              <from>
                <xdr:col>5</xdr:col>
                <xdr:colOff>38100</xdr:colOff>
                <xdr:row>36</xdr:row>
                <xdr:rowOff>7620</xdr:rowOff>
              </from>
              <to>
                <xdr:col>5</xdr:col>
                <xdr:colOff>1043940</xdr:colOff>
                <xdr:row>37</xdr:row>
                <xdr:rowOff>167640</xdr:rowOff>
              </to>
            </anchor>
          </controlPr>
        </control>
      </mc:Choice>
      <mc:Fallback>
        <control shapeId="1074" r:id="rId16" name="CommandButton21"/>
      </mc:Fallback>
    </mc:AlternateContent>
    <mc:AlternateContent xmlns:mc="http://schemas.openxmlformats.org/markup-compatibility/2006">
      <mc:Choice Requires="x14">
        <control shapeId="1075" r:id="rId18" name="CommandButton22">
          <controlPr defaultSize="0" r:id="rId19" disabled="1">
            <anchor moveWithCells="1">
              <from>
                <xdr:col>5</xdr:col>
                <xdr:colOff>1059180</xdr:colOff>
                <xdr:row>36</xdr:row>
                <xdr:rowOff>7620</xdr:rowOff>
              </from>
              <to>
                <xdr:col>5</xdr:col>
                <xdr:colOff>2065020</xdr:colOff>
                <xdr:row>37</xdr:row>
                <xdr:rowOff>167640</xdr:rowOff>
              </to>
            </anchor>
          </controlPr>
        </control>
      </mc:Choice>
      <mc:Fallback>
        <control shapeId="1075" r:id="rId18" name="CommandButton22"/>
      </mc:Fallback>
    </mc:AlternateContent>
    <mc:AlternateContent xmlns:mc="http://schemas.openxmlformats.org/markup-compatibility/2006">
      <mc:Choice Requires="x14">
        <control shapeId="1076" r:id="rId20" name="CommandButton23">
          <controlPr defaultSize="0" r:id="rId21" disabled="1">
            <anchor moveWithCells="1">
              <from>
                <xdr:col>5</xdr:col>
                <xdr:colOff>2087880</xdr:colOff>
                <xdr:row>36</xdr:row>
                <xdr:rowOff>7620</xdr:rowOff>
              </from>
              <to>
                <xdr:col>5</xdr:col>
                <xdr:colOff>3093720</xdr:colOff>
                <xdr:row>37</xdr:row>
                <xdr:rowOff>167640</xdr:rowOff>
              </to>
            </anchor>
          </controlPr>
        </control>
      </mc:Choice>
      <mc:Fallback>
        <control shapeId="1076" r:id="rId20" name="CommandButton23"/>
      </mc:Fallback>
    </mc:AlternateContent>
    <mc:AlternateContent xmlns:mc="http://schemas.openxmlformats.org/markup-compatibility/2006">
      <mc:Choice Requires="x14">
        <control shapeId="1078" r:id="rId22" name="ToggleButton21">
          <controlPr defaultSize="0" r:id="rId23" disabled="1">
            <anchor moveWithCells="1">
              <from>
                <xdr:col>5</xdr:col>
                <xdr:colOff>38100</xdr:colOff>
                <xdr:row>38</xdr:row>
                <xdr:rowOff>30480</xdr:rowOff>
              </from>
              <to>
                <xdr:col>5</xdr:col>
                <xdr:colOff>1043940</xdr:colOff>
                <xdr:row>39</xdr:row>
                <xdr:rowOff>190500</xdr:rowOff>
              </to>
            </anchor>
          </controlPr>
        </control>
      </mc:Choice>
      <mc:Fallback>
        <control shapeId="1078" r:id="rId22" name="ToggleButton21"/>
      </mc:Fallback>
    </mc:AlternateContent>
    <mc:AlternateContent xmlns:mc="http://schemas.openxmlformats.org/markup-compatibility/2006">
      <mc:Choice Requires="x14">
        <control shapeId="1079" r:id="rId24" name="ToggleButton22">
          <controlPr defaultSize="0" r:id="rId25" disabled="1">
            <anchor moveWithCells="1">
              <from>
                <xdr:col>5</xdr:col>
                <xdr:colOff>1059180</xdr:colOff>
                <xdr:row>38</xdr:row>
                <xdr:rowOff>30480</xdr:rowOff>
              </from>
              <to>
                <xdr:col>5</xdr:col>
                <xdr:colOff>2065020</xdr:colOff>
                <xdr:row>39</xdr:row>
                <xdr:rowOff>190500</xdr:rowOff>
              </to>
            </anchor>
          </controlPr>
        </control>
      </mc:Choice>
      <mc:Fallback>
        <control shapeId="1079" r:id="rId24" name="ToggleButton22"/>
      </mc:Fallback>
    </mc:AlternateContent>
    <mc:AlternateContent xmlns:mc="http://schemas.openxmlformats.org/markup-compatibility/2006">
      <mc:Choice Requires="x14">
        <control shapeId="1081" r:id="rId26" name="CommandButton31">
          <controlPr defaultSize="0" r:id="rId27" disabled="1">
            <anchor moveWithCells="1">
              <from>
                <xdr:col>6</xdr:col>
                <xdr:colOff>38100</xdr:colOff>
                <xdr:row>36</xdr:row>
                <xdr:rowOff>7620</xdr:rowOff>
              </from>
              <to>
                <xdr:col>6</xdr:col>
                <xdr:colOff>1043940</xdr:colOff>
                <xdr:row>37</xdr:row>
                <xdr:rowOff>167640</xdr:rowOff>
              </to>
            </anchor>
          </controlPr>
        </control>
      </mc:Choice>
      <mc:Fallback>
        <control shapeId="1081" r:id="rId26" name="CommandButton31"/>
      </mc:Fallback>
    </mc:AlternateContent>
    <mc:AlternateContent xmlns:mc="http://schemas.openxmlformats.org/markup-compatibility/2006">
      <mc:Choice Requires="x14">
        <control shapeId="1082" r:id="rId28" name="CommandButton32">
          <controlPr defaultSize="0" r:id="rId29" disabled="1">
            <anchor moveWithCells="1">
              <from>
                <xdr:col>6</xdr:col>
                <xdr:colOff>1066800</xdr:colOff>
                <xdr:row>36</xdr:row>
                <xdr:rowOff>7620</xdr:rowOff>
              </from>
              <to>
                <xdr:col>6</xdr:col>
                <xdr:colOff>2072640</xdr:colOff>
                <xdr:row>37</xdr:row>
                <xdr:rowOff>167640</xdr:rowOff>
              </to>
            </anchor>
          </controlPr>
        </control>
      </mc:Choice>
      <mc:Fallback>
        <control shapeId="1082" r:id="rId28" name="CommandButton32"/>
      </mc:Fallback>
    </mc:AlternateContent>
    <mc:AlternateContent xmlns:mc="http://schemas.openxmlformats.org/markup-compatibility/2006">
      <mc:Choice Requires="x14">
        <control shapeId="1083" r:id="rId30" name="CommandButton33">
          <controlPr defaultSize="0" r:id="rId31" disabled="1">
            <anchor moveWithCells="1">
              <from>
                <xdr:col>6</xdr:col>
                <xdr:colOff>2087880</xdr:colOff>
                <xdr:row>36</xdr:row>
                <xdr:rowOff>7620</xdr:rowOff>
              </from>
              <to>
                <xdr:col>6</xdr:col>
                <xdr:colOff>3093720</xdr:colOff>
                <xdr:row>37</xdr:row>
                <xdr:rowOff>167640</xdr:rowOff>
              </to>
            </anchor>
          </controlPr>
        </control>
      </mc:Choice>
      <mc:Fallback>
        <control shapeId="1083" r:id="rId30" name="CommandButton33"/>
      </mc:Fallback>
    </mc:AlternateContent>
    <mc:AlternateContent xmlns:mc="http://schemas.openxmlformats.org/markup-compatibility/2006">
      <mc:Choice Requires="x14">
        <control shapeId="1084" r:id="rId32" name="ToggleButton31">
          <controlPr defaultSize="0" r:id="rId33" disabled="1">
            <anchor moveWithCells="1">
              <from>
                <xdr:col>6</xdr:col>
                <xdr:colOff>30480</xdr:colOff>
                <xdr:row>38</xdr:row>
                <xdr:rowOff>30480</xdr:rowOff>
              </from>
              <to>
                <xdr:col>6</xdr:col>
                <xdr:colOff>1036320</xdr:colOff>
                <xdr:row>39</xdr:row>
                <xdr:rowOff>190500</xdr:rowOff>
              </to>
            </anchor>
          </controlPr>
        </control>
      </mc:Choice>
      <mc:Fallback>
        <control shapeId="1084" r:id="rId32" name="ToggleButton31"/>
      </mc:Fallback>
    </mc:AlternateContent>
    <mc:AlternateContent xmlns:mc="http://schemas.openxmlformats.org/markup-compatibility/2006">
      <mc:Choice Requires="x14">
        <control shapeId="1085" r:id="rId34" name="ToggleButton32">
          <controlPr defaultSize="0" r:id="rId35" disabled="1">
            <anchor moveWithCells="1">
              <from>
                <xdr:col>6</xdr:col>
                <xdr:colOff>1051560</xdr:colOff>
                <xdr:row>38</xdr:row>
                <xdr:rowOff>30480</xdr:rowOff>
              </from>
              <to>
                <xdr:col>6</xdr:col>
                <xdr:colOff>2057400</xdr:colOff>
                <xdr:row>39</xdr:row>
                <xdr:rowOff>190500</xdr:rowOff>
              </to>
            </anchor>
          </controlPr>
        </control>
      </mc:Choice>
      <mc:Fallback>
        <control shapeId="1085" r:id="rId34" name="ToggleButton32"/>
      </mc:Fallback>
    </mc:AlternateContent>
    <mc:AlternateContent xmlns:mc="http://schemas.openxmlformats.org/markup-compatibility/2006">
      <mc:Choice Requires="x14">
        <control shapeId="1086" r:id="rId36" name="CommandButton41">
          <controlPr defaultSize="0" r:id="rId37" disabled="1">
            <anchor moveWithCells="1">
              <from>
                <xdr:col>7</xdr:col>
                <xdr:colOff>15240</xdr:colOff>
                <xdr:row>36</xdr:row>
                <xdr:rowOff>7620</xdr:rowOff>
              </from>
              <to>
                <xdr:col>7</xdr:col>
                <xdr:colOff>1021080</xdr:colOff>
                <xdr:row>37</xdr:row>
                <xdr:rowOff>167640</xdr:rowOff>
              </to>
            </anchor>
          </controlPr>
        </control>
      </mc:Choice>
      <mc:Fallback>
        <control shapeId="1086" r:id="rId36" name="CommandButton41"/>
      </mc:Fallback>
    </mc:AlternateContent>
    <mc:AlternateContent xmlns:mc="http://schemas.openxmlformats.org/markup-compatibility/2006">
      <mc:Choice Requires="x14">
        <control shapeId="1087" r:id="rId38" name="CommandButton42">
          <controlPr defaultSize="0" r:id="rId39" disabled="1">
            <anchor moveWithCells="1">
              <from>
                <xdr:col>7</xdr:col>
                <xdr:colOff>1028700</xdr:colOff>
                <xdr:row>36</xdr:row>
                <xdr:rowOff>7620</xdr:rowOff>
              </from>
              <to>
                <xdr:col>7</xdr:col>
                <xdr:colOff>2034540</xdr:colOff>
                <xdr:row>37</xdr:row>
                <xdr:rowOff>167640</xdr:rowOff>
              </to>
            </anchor>
          </controlPr>
        </control>
      </mc:Choice>
      <mc:Fallback>
        <control shapeId="1087" r:id="rId38" name="CommandButton42"/>
      </mc:Fallback>
    </mc:AlternateContent>
    <mc:AlternateContent xmlns:mc="http://schemas.openxmlformats.org/markup-compatibility/2006">
      <mc:Choice Requires="x14">
        <control shapeId="1088" r:id="rId40" name="CommandButton43">
          <controlPr defaultSize="0" r:id="rId41" disabled="1">
            <anchor moveWithCells="1">
              <from>
                <xdr:col>7</xdr:col>
                <xdr:colOff>2057400</xdr:colOff>
                <xdr:row>36</xdr:row>
                <xdr:rowOff>7620</xdr:rowOff>
              </from>
              <to>
                <xdr:col>7</xdr:col>
                <xdr:colOff>3063240</xdr:colOff>
                <xdr:row>37</xdr:row>
                <xdr:rowOff>167640</xdr:rowOff>
              </to>
            </anchor>
          </controlPr>
        </control>
      </mc:Choice>
      <mc:Fallback>
        <control shapeId="1088" r:id="rId40" name="CommandButton43"/>
      </mc:Fallback>
    </mc:AlternateContent>
    <mc:AlternateContent xmlns:mc="http://schemas.openxmlformats.org/markup-compatibility/2006">
      <mc:Choice Requires="x14">
        <control shapeId="1089" r:id="rId42" name="ToggleButton41">
          <controlPr defaultSize="0" r:id="rId43" disabled="1">
            <anchor moveWithCells="1">
              <from>
                <xdr:col>7</xdr:col>
                <xdr:colOff>22860</xdr:colOff>
                <xdr:row>38</xdr:row>
                <xdr:rowOff>30480</xdr:rowOff>
              </from>
              <to>
                <xdr:col>7</xdr:col>
                <xdr:colOff>1028700</xdr:colOff>
                <xdr:row>39</xdr:row>
                <xdr:rowOff>190500</xdr:rowOff>
              </to>
            </anchor>
          </controlPr>
        </control>
      </mc:Choice>
      <mc:Fallback>
        <control shapeId="1089" r:id="rId42" name="ToggleButton41"/>
      </mc:Fallback>
    </mc:AlternateContent>
    <mc:AlternateContent xmlns:mc="http://schemas.openxmlformats.org/markup-compatibility/2006">
      <mc:Choice Requires="x14">
        <control shapeId="1090" r:id="rId44" name="ToggleButton42">
          <controlPr defaultSize="0" r:id="rId45" disabled="1">
            <anchor moveWithCells="1">
              <from>
                <xdr:col>7</xdr:col>
                <xdr:colOff>1028700</xdr:colOff>
                <xdr:row>38</xdr:row>
                <xdr:rowOff>30480</xdr:rowOff>
              </from>
              <to>
                <xdr:col>7</xdr:col>
                <xdr:colOff>2034540</xdr:colOff>
                <xdr:row>39</xdr:row>
                <xdr:rowOff>190500</xdr:rowOff>
              </to>
            </anchor>
          </controlPr>
        </control>
      </mc:Choice>
      <mc:Fallback>
        <control shapeId="1090" r:id="rId44" name="ToggleButton42"/>
      </mc:Fallback>
    </mc:AlternateContent>
    <mc:AlternateContent xmlns:mc="http://schemas.openxmlformats.org/markup-compatibility/2006">
      <mc:Choice Requires="x14">
        <control shapeId="1091" r:id="rId46" name="CommandButton51">
          <controlPr defaultSize="0" r:id="rId47" disabled="1">
            <anchor moveWithCells="1">
              <from>
                <xdr:col>8</xdr:col>
                <xdr:colOff>30480</xdr:colOff>
                <xdr:row>36</xdr:row>
                <xdr:rowOff>7620</xdr:rowOff>
              </from>
              <to>
                <xdr:col>8</xdr:col>
                <xdr:colOff>1036320</xdr:colOff>
                <xdr:row>37</xdr:row>
                <xdr:rowOff>167640</xdr:rowOff>
              </to>
            </anchor>
          </controlPr>
        </control>
      </mc:Choice>
      <mc:Fallback>
        <control shapeId="1091" r:id="rId46" name="CommandButton51"/>
      </mc:Fallback>
    </mc:AlternateContent>
    <mc:AlternateContent xmlns:mc="http://schemas.openxmlformats.org/markup-compatibility/2006">
      <mc:Choice Requires="x14">
        <control shapeId="1092" r:id="rId48" name="CommandButton52">
          <controlPr defaultSize="0" r:id="rId49" disabled="1">
            <anchor moveWithCells="1">
              <from>
                <xdr:col>8</xdr:col>
                <xdr:colOff>1059180</xdr:colOff>
                <xdr:row>36</xdr:row>
                <xdr:rowOff>7620</xdr:rowOff>
              </from>
              <to>
                <xdr:col>8</xdr:col>
                <xdr:colOff>2065020</xdr:colOff>
                <xdr:row>37</xdr:row>
                <xdr:rowOff>167640</xdr:rowOff>
              </to>
            </anchor>
          </controlPr>
        </control>
      </mc:Choice>
      <mc:Fallback>
        <control shapeId="1092" r:id="rId48" name="CommandButton52"/>
      </mc:Fallback>
    </mc:AlternateContent>
    <mc:AlternateContent xmlns:mc="http://schemas.openxmlformats.org/markup-compatibility/2006">
      <mc:Choice Requires="x14">
        <control shapeId="1093" r:id="rId50" name="CommandButton53">
          <controlPr defaultSize="0" r:id="rId51" disabled="1">
            <anchor moveWithCells="1">
              <from>
                <xdr:col>8</xdr:col>
                <xdr:colOff>2087880</xdr:colOff>
                <xdr:row>36</xdr:row>
                <xdr:rowOff>7620</xdr:rowOff>
              </from>
              <to>
                <xdr:col>8</xdr:col>
                <xdr:colOff>3093720</xdr:colOff>
                <xdr:row>37</xdr:row>
                <xdr:rowOff>167640</xdr:rowOff>
              </to>
            </anchor>
          </controlPr>
        </control>
      </mc:Choice>
      <mc:Fallback>
        <control shapeId="1093" r:id="rId50" name="CommandButton53"/>
      </mc:Fallback>
    </mc:AlternateContent>
    <mc:AlternateContent xmlns:mc="http://schemas.openxmlformats.org/markup-compatibility/2006">
      <mc:Choice Requires="x14">
        <control shapeId="1094" r:id="rId52" name="ToggleButton51">
          <controlPr defaultSize="0" r:id="rId53" disabled="1">
            <anchor moveWithCells="1">
              <from>
                <xdr:col>8</xdr:col>
                <xdr:colOff>38100</xdr:colOff>
                <xdr:row>38</xdr:row>
                <xdr:rowOff>30480</xdr:rowOff>
              </from>
              <to>
                <xdr:col>8</xdr:col>
                <xdr:colOff>1043940</xdr:colOff>
                <xdr:row>39</xdr:row>
                <xdr:rowOff>190500</xdr:rowOff>
              </to>
            </anchor>
          </controlPr>
        </control>
      </mc:Choice>
      <mc:Fallback>
        <control shapeId="1094" r:id="rId52" name="ToggleButton51"/>
      </mc:Fallback>
    </mc:AlternateContent>
    <mc:AlternateContent xmlns:mc="http://schemas.openxmlformats.org/markup-compatibility/2006">
      <mc:Choice Requires="x14">
        <control shapeId="1095" r:id="rId54" name="ToggleButton52">
          <controlPr defaultSize="0" r:id="rId55" disabled="1">
            <anchor moveWithCells="1">
              <from>
                <xdr:col>8</xdr:col>
                <xdr:colOff>1066800</xdr:colOff>
                <xdr:row>38</xdr:row>
                <xdr:rowOff>30480</xdr:rowOff>
              </from>
              <to>
                <xdr:col>8</xdr:col>
                <xdr:colOff>2072640</xdr:colOff>
                <xdr:row>39</xdr:row>
                <xdr:rowOff>190500</xdr:rowOff>
              </to>
            </anchor>
          </controlPr>
        </control>
      </mc:Choice>
      <mc:Fallback>
        <control shapeId="1095" r:id="rId54" name="ToggleButton52"/>
      </mc:Fallback>
    </mc:AlternateContent>
    <mc:AlternateContent xmlns:mc="http://schemas.openxmlformats.org/markup-compatibility/2006">
      <mc:Choice Requires="x14">
        <control shapeId="1096" r:id="rId56" name="CommandButton61">
          <controlPr defaultSize="0" r:id="rId57" disabled="1">
            <anchor moveWithCells="1">
              <from>
                <xdr:col>9</xdr:col>
                <xdr:colOff>30480</xdr:colOff>
                <xdr:row>36</xdr:row>
                <xdr:rowOff>7620</xdr:rowOff>
              </from>
              <to>
                <xdr:col>9</xdr:col>
                <xdr:colOff>1036320</xdr:colOff>
                <xdr:row>37</xdr:row>
                <xdr:rowOff>167640</xdr:rowOff>
              </to>
            </anchor>
          </controlPr>
        </control>
      </mc:Choice>
      <mc:Fallback>
        <control shapeId="1096" r:id="rId56" name="CommandButton61"/>
      </mc:Fallback>
    </mc:AlternateContent>
    <mc:AlternateContent xmlns:mc="http://schemas.openxmlformats.org/markup-compatibility/2006">
      <mc:Choice Requires="x14">
        <control shapeId="1097" r:id="rId58" name="CommandButton62">
          <controlPr defaultSize="0" r:id="rId59" disabled="1">
            <anchor moveWithCells="1">
              <from>
                <xdr:col>9</xdr:col>
                <xdr:colOff>1059180</xdr:colOff>
                <xdr:row>36</xdr:row>
                <xdr:rowOff>7620</xdr:rowOff>
              </from>
              <to>
                <xdr:col>9</xdr:col>
                <xdr:colOff>2065020</xdr:colOff>
                <xdr:row>37</xdr:row>
                <xdr:rowOff>167640</xdr:rowOff>
              </to>
            </anchor>
          </controlPr>
        </control>
      </mc:Choice>
      <mc:Fallback>
        <control shapeId="1097" r:id="rId58" name="CommandButton62"/>
      </mc:Fallback>
    </mc:AlternateContent>
    <mc:AlternateContent xmlns:mc="http://schemas.openxmlformats.org/markup-compatibility/2006">
      <mc:Choice Requires="x14">
        <control shapeId="1098" r:id="rId60" name="ToggleButton61">
          <controlPr defaultSize="0" r:id="rId61" disabled="1">
            <anchor moveWithCells="1">
              <from>
                <xdr:col>9</xdr:col>
                <xdr:colOff>38100</xdr:colOff>
                <xdr:row>38</xdr:row>
                <xdr:rowOff>30480</xdr:rowOff>
              </from>
              <to>
                <xdr:col>9</xdr:col>
                <xdr:colOff>1043940</xdr:colOff>
                <xdr:row>39</xdr:row>
                <xdr:rowOff>190500</xdr:rowOff>
              </to>
            </anchor>
          </controlPr>
        </control>
      </mc:Choice>
      <mc:Fallback>
        <control shapeId="1098" r:id="rId60" name="ToggleButton61"/>
      </mc:Fallback>
    </mc:AlternateContent>
    <mc:AlternateContent xmlns:mc="http://schemas.openxmlformats.org/markup-compatibility/2006">
      <mc:Choice Requires="x14">
        <control shapeId="1099" r:id="rId62" name="ToggleButton62">
          <controlPr defaultSize="0" r:id="rId63" disabled="1">
            <anchor moveWithCells="1">
              <from>
                <xdr:col>9</xdr:col>
                <xdr:colOff>1051560</xdr:colOff>
                <xdr:row>38</xdr:row>
                <xdr:rowOff>30480</xdr:rowOff>
              </from>
              <to>
                <xdr:col>9</xdr:col>
                <xdr:colOff>2057400</xdr:colOff>
                <xdr:row>39</xdr:row>
                <xdr:rowOff>190500</xdr:rowOff>
              </to>
            </anchor>
          </controlPr>
        </control>
      </mc:Choice>
      <mc:Fallback>
        <control shapeId="1099" r:id="rId62" name="ToggleButton62"/>
      </mc:Fallback>
    </mc:AlternateContent>
    <mc:AlternateContent xmlns:mc="http://schemas.openxmlformats.org/markup-compatibility/2006">
      <mc:Choice Requires="x14">
        <control shapeId="1100" r:id="rId64" name="CommandButton63">
          <controlPr defaultSize="0" r:id="rId65" disabled="1">
            <anchor moveWithCells="1">
              <from>
                <xdr:col>9</xdr:col>
                <xdr:colOff>2080260</xdr:colOff>
                <xdr:row>36</xdr:row>
                <xdr:rowOff>7620</xdr:rowOff>
              </from>
              <to>
                <xdr:col>9</xdr:col>
                <xdr:colOff>3086100</xdr:colOff>
                <xdr:row>37</xdr:row>
                <xdr:rowOff>167640</xdr:rowOff>
              </to>
            </anchor>
          </controlPr>
        </control>
      </mc:Choice>
      <mc:Fallback>
        <control shapeId="1100" r:id="rId64" name="CommandButton63"/>
      </mc:Fallback>
    </mc:AlternateContent>
    <mc:AlternateContent xmlns:mc="http://schemas.openxmlformats.org/markup-compatibility/2006">
      <mc:Choice Requires="x14">
        <control shapeId="1101" r:id="rId66" name="CommandButton71">
          <controlPr defaultSize="0" r:id="rId67" disabled="1">
            <anchor moveWithCells="1">
              <from>
                <xdr:col>10</xdr:col>
                <xdr:colOff>22860</xdr:colOff>
                <xdr:row>36</xdr:row>
                <xdr:rowOff>7620</xdr:rowOff>
              </from>
              <to>
                <xdr:col>10</xdr:col>
                <xdr:colOff>1028700</xdr:colOff>
                <xdr:row>37</xdr:row>
                <xdr:rowOff>167640</xdr:rowOff>
              </to>
            </anchor>
          </controlPr>
        </control>
      </mc:Choice>
      <mc:Fallback>
        <control shapeId="1101" r:id="rId66" name="CommandButton71"/>
      </mc:Fallback>
    </mc:AlternateContent>
    <mc:AlternateContent xmlns:mc="http://schemas.openxmlformats.org/markup-compatibility/2006">
      <mc:Choice Requires="x14">
        <control shapeId="1102" r:id="rId68" name="CommandButton72">
          <controlPr defaultSize="0" r:id="rId69" disabled="1">
            <anchor moveWithCells="1">
              <from>
                <xdr:col>10</xdr:col>
                <xdr:colOff>1043940</xdr:colOff>
                <xdr:row>36</xdr:row>
                <xdr:rowOff>7620</xdr:rowOff>
              </from>
              <to>
                <xdr:col>10</xdr:col>
                <xdr:colOff>2049780</xdr:colOff>
                <xdr:row>37</xdr:row>
                <xdr:rowOff>167640</xdr:rowOff>
              </to>
            </anchor>
          </controlPr>
        </control>
      </mc:Choice>
      <mc:Fallback>
        <control shapeId="1102" r:id="rId68" name="CommandButton72"/>
      </mc:Fallback>
    </mc:AlternateContent>
    <mc:AlternateContent xmlns:mc="http://schemas.openxmlformats.org/markup-compatibility/2006">
      <mc:Choice Requires="x14">
        <control shapeId="1103" r:id="rId70" name="CommandButton73">
          <controlPr defaultSize="0" r:id="rId71" disabled="1">
            <anchor moveWithCells="1">
              <from>
                <xdr:col>10</xdr:col>
                <xdr:colOff>2072640</xdr:colOff>
                <xdr:row>36</xdr:row>
                <xdr:rowOff>7620</xdr:rowOff>
              </from>
              <to>
                <xdr:col>10</xdr:col>
                <xdr:colOff>3078480</xdr:colOff>
                <xdr:row>37</xdr:row>
                <xdr:rowOff>167640</xdr:rowOff>
              </to>
            </anchor>
          </controlPr>
        </control>
      </mc:Choice>
      <mc:Fallback>
        <control shapeId="1103" r:id="rId70" name="CommandButton73"/>
      </mc:Fallback>
    </mc:AlternateContent>
    <mc:AlternateContent xmlns:mc="http://schemas.openxmlformats.org/markup-compatibility/2006">
      <mc:Choice Requires="x14">
        <control shapeId="1104" r:id="rId72" name="ToggleButton71">
          <controlPr defaultSize="0" r:id="rId73" disabled="1">
            <anchor moveWithCells="1">
              <from>
                <xdr:col>10</xdr:col>
                <xdr:colOff>38100</xdr:colOff>
                <xdr:row>38</xdr:row>
                <xdr:rowOff>30480</xdr:rowOff>
              </from>
              <to>
                <xdr:col>10</xdr:col>
                <xdr:colOff>1043940</xdr:colOff>
                <xdr:row>39</xdr:row>
                <xdr:rowOff>190500</xdr:rowOff>
              </to>
            </anchor>
          </controlPr>
        </control>
      </mc:Choice>
      <mc:Fallback>
        <control shapeId="1104" r:id="rId72" name="ToggleButton71"/>
      </mc:Fallback>
    </mc:AlternateContent>
    <mc:AlternateContent xmlns:mc="http://schemas.openxmlformats.org/markup-compatibility/2006">
      <mc:Choice Requires="x14">
        <control shapeId="1105" r:id="rId74" name="ToggleButton72">
          <controlPr defaultSize="0" r:id="rId75" disabled="1">
            <anchor moveWithCells="1">
              <from>
                <xdr:col>10</xdr:col>
                <xdr:colOff>1066800</xdr:colOff>
                <xdr:row>38</xdr:row>
                <xdr:rowOff>30480</xdr:rowOff>
              </from>
              <to>
                <xdr:col>10</xdr:col>
                <xdr:colOff>2072640</xdr:colOff>
                <xdr:row>39</xdr:row>
                <xdr:rowOff>190500</xdr:rowOff>
              </to>
            </anchor>
          </controlPr>
        </control>
      </mc:Choice>
      <mc:Fallback>
        <control shapeId="1105" r:id="rId74" name="ToggleButton72"/>
      </mc:Fallback>
    </mc:AlternateContent>
    <mc:AlternateContent xmlns:mc="http://schemas.openxmlformats.org/markup-compatibility/2006">
      <mc:Choice Requires="x14">
        <control shapeId="1106" r:id="rId76" name="CommandButton81">
          <controlPr defaultSize="0" r:id="rId77" disabled="1">
            <anchor moveWithCells="1">
              <from>
                <xdr:col>11</xdr:col>
                <xdr:colOff>30480</xdr:colOff>
                <xdr:row>36</xdr:row>
                <xdr:rowOff>7620</xdr:rowOff>
              </from>
              <to>
                <xdr:col>11</xdr:col>
                <xdr:colOff>1036320</xdr:colOff>
                <xdr:row>37</xdr:row>
                <xdr:rowOff>167640</xdr:rowOff>
              </to>
            </anchor>
          </controlPr>
        </control>
      </mc:Choice>
      <mc:Fallback>
        <control shapeId="1106" r:id="rId76" name="CommandButton81"/>
      </mc:Fallback>
    </mc:AlternateContent>
    <mc:AlternateContent xmlns:mc="http://schemas.openxmlformats.org/markup-compatibility/2006">
      <mc:Choice Requires="x14">
        <control shapeId="1107" r:id="rId78" name="CommandButton82">
          <controlPr defaultSize="0" r:id="rId79" disabled="1">
            <anchor moveWithCells="1">
              <from>
                <xdr:col>11</xdr:col>
                <xdr:colOff>1066800</xdr:colOff>
                <xdr:row>36</xdr:row>
                <xdr:rowOff>7620</xdr:rowOff>
              </from>
              <to>
                <xdr:col>11</xdr:col>
                <xdr:colOff>2072640</xdr:colOff>
                <xdr:row>37</xdr:row>
                <xdr:rowOff>167640</xdr:rowOff>
              </to>
            </anchor>
          </controlPr>
        </control>
      </mc:Choice>
      <mc:Fallback>
        <control shapeId="1107" r:id="rId78" name="CommandButton82"/>
      </mc:Fallback>
    </mc:AlternateContent>
    <mc:AlternateContent xmlns:mc="http://schemas.openxmlformats.org/markup-compatibility/2006">
      <mc:Choice Requires="x14">
        <control shapeId="1108" r:id="rId80" name="CommandButton83">
          <controlPr defaultSize="0" r:id="rId81" disabled="1">
            <anchor moveWithCells="1">
              <from>
                <xdr:col>11</xdr:col>
                <xdr:colOff>2087880</xdr:colOff>
                <xdr:row>36</xdr:row>
                <xdr:rowOff>7620</xdr:rowOff>
              </from>
              <to>
                <xdr:col>11</xdr:col>
                <xdr:colOff>3093720</xdr:colOff>
                <xdr:row>37</xdr:row>
                <xdr:rowOff>167640</xdr:rowOff>
              </to>
            </anchor>
          </controlPr>
        </control>
      </mc:Choice>
      <mc:Fallback>
        <control shapeId="1108" r:id="rId80" name="CommandButton83"/>
      </mc:Fallback>
    </mc:AlternateContent>
    <mc:AlternateContent xmlns:mc="http://schemas.openxmlformats.org/markup-compatibility/2006">
      <mc:Choice Requires="x14">
        <control shapeId="1109" r:id="rId82" name="ToggleButton81">
          <controlPr defaultSize="0" r:id="rId83" disabled="1">
            <anchor moveWithCells="1">
              <from>
                <xdr:col>11</xdr:col>
                <xdr:colOff>38100</xdr:colOff>
                <xdr:row>38</xdr:row>
                <xdr:rowOff>30480</xdr:rowOff>
              </from>
              <to>
                <xdr:col>11</xdr:col>
                <xdr:colOff>1043940</xdr:colOff>
                <xdr:row>39</xdr:row>
                <xdr:rowOff>190500</xdr:rowOff>
              </to>
            </anchor>
          </controlPr>
        </control>
      </mc:Choice>
      <mc:Fallback>
        <control shapeId="1109" r:id="rId82" name="ToggleButton81"/>
      </mc:Fallback>
    </mc:AlternateContent>
    <mc:AlternateContent xmlns:mc="http://schemas.openxmlformats.org/markup-compatibility/2006">
      <mc:Choice Requires="x14">
        <control shapeId="1110" r:id="rId84" name="ToggleButton82">
          <controlPr defaultSize="0" r:id="rId85" disabled="1">
            <anchor moveWithCells="1">
              <from>
                <xdr:col>11</xdr:col>
                <xdr:colOff>1066800</xdr:colOff>
                <xdr:row>38</xdr:row>
                <xdr:rowOff>30480</xdr:rowOff>
              </from>
              <to>
                <xdr:col>11</xdr:col>
                <xdr:colOff>2072640</xdr:colOff>
                <xdr:row>39</xdr:row>
                <xdr:rowOff>190500</xdr:rowOff>
              </to>
            </anchor>
          </controlPr>
        </control>
      </mc:Choice>
      <mc:Fallback>
        <control shapeId="1110" r:id="rId84" name="ToggleButton82"/>
      </mc:Fallback>
    </mc:AlternateContent>
    <mc:AlternateContent xmlns:mc="http://schemas.openxmlformats.org/markup-compatibility/2006">
      <mc:Choice Requires="x14">
        <control shapeId="1111" r:id="rId86" name="CommandButton91">
          <controlPr defaultSize="0" r:id="rId87" disabled="1">
            <anchor moveWithCells="1">
              <from>
                <xdr:col>12</xdr:col>
                <xdr:colOff>30480</xdr:colOff>
                <xdr:row>36</xdr:row>
                <xdr:rowOff>7620</xdr:rowOff>
              </from>
              <to>
                <xdr:col>12</xdr:col>
                <xdr:colOff>1036320</xdr:colOff>
                <xdr:row>37</xdr:row>
                <xdr:rowOff>167640</xdr:rowOff>
              </to>
            </anchor>
          </controlPr>
        </control>
      </mc:Choice>
      <mc:Fallback>
        <control shapeId="1111" r:id="rId86" name="CommandButton91"/>
      </mc:Fallback>
    </mc:AlternateContent>
    <mc:AlternateContent xmlns:mc="http://schemas.openxmlformats.org/markup-compatibility/2006">
      <mc:Choice Requires="x14">
        <control shapeId="1112" r:id="rId88" name="CommandButton92">
          <controlPr defaultSize="0" r:id="rId89" disabled="1">
            <anchor moveWithCells="1">
              <from>
                <xdr:col>12</xdr:col>
                <xdr:colOff>1059180</xdr:colOff>
                <xdr:row>36</xdr:row>
                <xdr:rowOff>7620</xdr:rowOff>
              </from>
              <to>
                <xdr:col>12</xdr:col>
                <xdr:colOff>2065020</xdr:colOff>
                <xdr:row>37</xdr:row>
                <xdr:rowOff>167640</xdr:rowOff>
              </to>
            </anchor>
          </controlPr>
        </control>
      </mc:Choice>
      <mc:Fallback>
        <control shapeId="1112" r:id="rId88" name="CommandButton92"/>
      </mc:Fallback>
    </mc:AlternateContent>
    <mc:AlternateContent xmlns:mc="http://schemas.openxmlformats.org/markup-compatibility/2006">
      <mc:Choice Requires="x14">
        <control shapeId="1113" r:id="rId90" name="CommandButton93">
          <controlPr defaultSize="0" r:id="rId91" disabled="1">
            <anchor moveWithCells="1">
              <from>
                <xdr:col>12</xdr:col>
                <xdr:colOff>2080260</xdr:colOff>
                <xdr:row>36</xdr:row>
                <xdr:rowOff>7620</xdr:rowOff>
              </from>
              <to>
                <xdr:col>12</xdr:col>
                <xdr:colOff>3086100</xdr:colOff>
                <xdr:row>37</xdr:row>
                <xdr:rowOff>167640</xdr:rowOff>
              </to>
            </anchor>
          </controlPr>
        </control>
      </mc:Choice>
      <mc:Fallback>
        <control shapeId="1113" r:id="rId90" name="CommandButton93"/>
      </mc:Fallback>
    </mc:AlternateContent>
    <mc:AlternateContent xmlns:mc="http://schemas.openxmlformats.org/markup-compatibility/2006">
      <mc:Choice Requires="x14">
        <control shapeId="1114" r:id="rId92" name="ToggleButton91">
          <controlPr defaultSize="0" r:id="rId93" disabled="1">
            <anchor moveWithCells="1">
              <from>
                <xdr:col>12</xdr:col>
                <xdr:colOff>38100</xdr:colOff>
                <xdr:row>38</xdr:row>
                <xdr:rowOff>30480</xdr:rowOff>
              </from>
              <to>
                <xdr:col>12</xdr:col>
                <xdr:colOff>1043940</xdr:colOff>
                <xdr:row>39</xdr:row>
                <xdr:rowOff>190500</xdr:rowOff>
              </to>
            </anchor>
          </controlPr>
        </control>
      </mc:Choice>
      <mc:Fallback>
        <control shapeId="1114" r:id="rId92" name="ToggleButton91"/>
      </mc:Fallback>
    </mc:AlternateContent>
    <mc:AlternateContent xmlns:mc="http://schemas.openxmlformats.org/markup-compatibility/2006">
      <mc:Choice Requires="x14">
        <control shapeId="1115" r:id="rId94" name="ToggleButton92">
          <controlPr defaultSize="0" r:id="rId95" disabled="1">
            <anchor moveWithCells="1">
              <from>
                <xdr:col>12</xdr:col>
                <xdr:colOff>1059180</xdr:colOff>
                <xdr:row>38</xdr:row>
                <xdr:rowOff>30480</xdr:rowOff>
              </from>
              <to>
                <xdr:col>12</xdr:col>
                <xdr:colOff>2065020</xdr:colOff>
                <xdr:row>39</xdr:row>
                <xdr:rowOff>190500</xdr:rowOff>
              </to>
            </anchor>
          </controlPr>
        </control>
      </mc:Choice>
      <mc:Fallback>
        <control shapeId="1115" r:id="rId94" name="ToggleButton92"/>
      </mc:Fallback>
    </mc:AlternateContent>
    <mc:AlternateContent xmlns:mc="http://schemas.openxmlformats.org/markup-compatibility/2006">
      <mc:Choice Requires="x14">
        <control shapeId="1116" r:id="rId96" name="CommandButton02">
          <controlPr defaultSize="0" r:id="rId97">
            <anchor moveWithCells="1">
              <from>
                <xdr:col>1</xdr:col>
                <xdr:colOff>38100</xdr:colOff>
                <xdr:row>38</xdr:row>
                <xdr:rowOff>38100</xdr:rowOff>
              </from>
              <to>
                <xdr:col>1</xdr:col>
                <xdr:colOff>754380</xdr:colOff>
                <xdr:row>39</xdr:row>
                <xdr:rowOff>167640</xdr:rowOff>
              </to>
            </anchor>
          </controlPr>
        </control>
      </mc:Choice>
      <mc:Fallback>
        <control shapeId="1116" r:id="rId96" name="CommandButton02"/>
      </mc:Fallback>
    </mc:AlternateContent>
    <mc:AlternateContent xmlns:mc="http://schemas.openxmlformats.org/markup-compatibility/2006">
      <mc:Choice Requires="x14">
        <control shapeId="1117" r:id="rId98" name="CommandButton03">
          <controlPr defaultSize="0" r:id="rId99">
            <anchor moveWithCells="1">
              <from>
                <xdr:col>1</xdr:col>
                <xdr:colOff>762000</xdr:colOff>
                <xdr:row>38</xdr:row>
                <xdr:rowOff>38100</xdr:rowOff>
              </from>
              <to>
                <xdr:col>1</xdr:col>
                <xdr:colOff>1478280</xdr:colOff>
                <xdr:row>39</xdr:row>
                <xdr:rowOff>167640</xdr:rowOff>
              </to>
            </anchor>
          </controlPr>
        </control>
      </mc:Choice>
      <mc:Fallback>
        <control shapeId="1117" r:id="rId98" name="CommandButton03"/>
      </mc:Fallback>
    </mc:AlternateContent>
    <mc:AlternateContent xmlns:mc="http://schemas.openxmlformats.org/markup-compatibility/2006">
      <mc:Choice Requires="x14">
        <control shapeId="1118" r:id="rId100" name="CommandButton04">
          <controlPr defaultSize="0" r:id="rId101">
            <anchor moveWithCells="1">
              <from>
                <xdr:col>0</xdr:col>
                <xdr:colOff>38100</xdr:colOff>
                <xdr:row>36</xdr:row>
                <xdr:rowOff>30480</xdr:rowOff>
              </from>
              <to>
                <xdr:col>1</xdr:col>
                <xdr:colOff>0</xdr:colOff>
                <xdr:row>39</xdr:row>
                <xdr:rowOff>167640</xdr:rowOff>
              </to>
            </anchor>
          </controlPr>
        </control>
      </mc:Choice>
      <mc:Fallback>
        <control shapeId="1118" r:id="rId100" name="CommandButton04"/>
      </mc:Fallback>
    </mc:AlternateContent>
    <mc:AlternateContent xmlns:mc="http://schemas.openxmlformats.org/markup-compatibility/2006">
      <mc:Choice Requires="x14">
        <control shapeId="1048" name="Button 24" r:id="rId102">
          <controlPr print="0" defaultSize="0">
            <anchor moveWithCells="1">
              <from>
                <xdr:col>3</xdr:col>
                <xdr:colOff>1135380</xdr:colOff>
                <xdr:row>38</xdr:row>
                <xdr:rowOff>22860</xdr:rowOff>
              </from>
              <to>
                <xdr:col>3</xdr:col>
                <xdr:colOff>2141220</xdr:colOff>
                <xdr:row>39</xdr:row>
                <xdr:rowOff>182880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2" name="Button 28" r:id="rId103">
          <controlPr print="0" defaultSize="0">
            <anchor moveWithCells="1">
              <from>
                <xdr:col>3</xdr:col>
                <xdr:colOff>53340</xdr:colOff>
                <xdr:row>38</xdr:row>
                <xdr:rowOff>22860</xdr:rowOff>
              </from>
              <to>
                <xdr:col>3</xdr:col>
                <xdr:colOff>1059180</xdr:colOff>
                <xdr:row>39</xdr:row>
                <xdr:rowOff>182880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3" name="Button 49" r:id="rId104">
          <controlPr print="0" defaultSize="0">
            <anchor moveWithCells="1" sizeWithCells="1">
              <from>
                <xdr:col>3</xdr:col>
                <xdr:colOff>2202180</xdr:colOff>
                <xdr:row>38</xdr:row>
                <xdr:rowOff>22860</xdr:rowOff>
              </from>
              <to>
                <xdr:col>3</xdr:col>
                <xdr:colOff>3017520</xdr:colOff>
                <xdr:row>39</xdr:row>
                <xdr:rowOff>182880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H117"/>
  <sheetViews>
    <sheetView tabSelected="1" workbookViewId="0">
      <selection activeCell="A2" sqref="A2:AH2"/>
    </sheetView>
  </sheetViews>
  <sheetFormatPr defaultColWidth="11.2" defaultRowHeight="15.75"/>
  <cols>
    <col min="1" max="1" width="11.2" style="19" customWidth="1"/>
    <col min="16" max="16" width="16.8" customWidth="1"/>
    <col min="26" max="26" width="17" customWidth="1"/>
  </cols>
  <sheetData>
    <row r="1" ht="30.6" customHeight="1" spans="1:34">
      <c r="A1" s="20" t="s">
        <v>14</v>
      </c>
      <c r="B1" s="21" t="s">
        <v>16</v>
      </c>
      <c r="C1" s="20" t="s">
        <v>19</v>
      </c>
      <c r="D1" s="20" t="s">
        <v>23</v>
      </c>
      <c r="E1" s="22" t="s">
        <v>26</v>
      </c>
      <c r="F1" s="20" t="s">
        <v>29</v>
      </c>
      <c r="G1" s="20" t="s">
        <v>32</v>
      </c>
      <c r="H1" s="20" t="s">
        <v>36</v>
      </c>
      <c r="I1" s="21" t="s">
        <v>39</v>
      </c>
      <c r="J1" s="21" t="s">
        <v>42</v>
      </c>
      <c r="K1" s="21" t="s">
        <v>45</v>
      </c>
      <c r="L1" s="21" t="s">
        <v>48</v>
      </c>
      <c r="M1" s="20" t="s">
        <v>51</v>
      </c>
      <c r="N1" s="21" t="s">
        <v>54</v>
      </c>
      <c r="O1" s="21" t="s">
        <v>56</v>
      </c>
      <c r="P1" s="21" t="s">
        <v>58</v>
      </c>
      <c r="Q1" s="21" t="s">
        <v>60</v>
      </c>
      <c r="R1" s="21" t="s">
        <v>63</v>
      </c>
      <c r="S1" s="21" t="s">
        <v>65</v>
      </c>
      <c r="T1" s="21" t="s">
        <v>67</v>
      </c>
      <c r="U1" s="21" t="s">
        <v>69</v>
      </c>
      <c r="V1" s="21" t="s">
        <v>72</v>
      </c>
      <c r="W1" s="21" t="s">
        <v>74</v>
      </c>
      <c r="X1" s="21" t="s">
        <v>77</v>
      </c>
      <c r="Y1" s="21" t="s">
        <v>79</v>
      </c>
      <c r="Z1" s="21" t="s">
        <v>82</v>
      </c>
      <c r="AA1" s="20" t="s">
        <v>86</v>
      </c>
      <c r="AB1" s="20" t="s">
        <v>88</v>
      </c>
      <c r="AC1" s="20" t="s">
        <v>91</v>
      </c>
      <c r="AD1" s="20" t="s">
        <v>94</v>
      </c>
      <c r="AE1" s="20" t="s">
        <v>97</v>
      </c>
      <c r="AF1" s="31" t="s">
        <v>101</v>
      </c>
      <c r="AG1" s="20" t="s">
        <v>104</v>
      </c>
      <c r="AH1" s="20" t="s">
        <v>107</v>
      </c>
    </row>
    <row r="2" spans="1:34">
      <c r="A2" s="1">
        <v>27</v>
      </c>
      <c r="B2" s="2" t="s">
        <v>17</v>
      </c>
      <c r="C2" s="2" t="s">
        <v>20</v>
      </c>
      <c r="D2" s="2" t="s">
        <v>24</v>
      </c>
      <c r="E2" s="2" t="s">
        <v>27</v>
      </c>
      <c r="F2" s="2" t="s">
        <v>30</v>
      </c>
      <c r="G2" s="2" t="s">
        <v>108</v>
      </c>
      <c r="H2" s="2" t="s">
        <v>37</v>
      </c>
      <c r="I2" s="2" t="s">
        <v>40</v>
      </c>
      <c r="J2" s="2" t="s">
        <v>43</v>
      </c>
      <c r="K2" s="2" t="s">
        <v>46</v>
      </c>
      <c r="L2" s="2" t="s">
        <v>109</v>
      </c>
      <c r="M2" s="2" t="s">
        <v>52</v>
      </c>
      <c r="N2" s="2" t="s">
        <v>46</v>
      </c>
      <c r="O2" s="2" t="s">
        <v>46</v>
      </c>
      <c r="P2" s="2" t="s">
        <v>46</v>
      </c>
      <c r="Q2" s="2" t="s">
        <v>46</v>
      </c>
      <c r="R2" s="2" t="s">
        <v>52</v>
      </c>
      <c r="S2" s="2" t="s">
        <v>46</v>
      </c>
      <c r="T2" s="2" t="s">
        <v>46</v>
      </c>
      <c r="U2" s="2" t="s">
        <v>70</v>
      </c>
      <c r="V2" s="2" t="s">
        <v>46</v>
      </c>
      <c r="W2" s="2" t="s">
        <v>46</v>
      </c>
      <c r="X2" s="2" t="s">
        <v>37</v>
      </c>
      <c r="Y2" s="2" t="s">
        <v>80</v>
      </c>
      <c r="Z2" s="2" t="s">
        <v>110</v>
      </c>
      <c r="AA2" s="2" t="s">
        <v>46</v>
      </c>
      <c r="AB2" s="2" t="s">
        <v>89</v>
      </c>
      <c r="AC2" s="2" t="s">
        <v>46</v>
      </c>
      <c r="AD2" s="2" t="s">
        <v>111</v>
      </c>
      <c r="AE2" s="2" t="s">
        <v>112</v>
      </c>
      <c r="AF2" s="2" t="s">
        <v>102</v>
      </c>
      <c r="AG2" s="2" t="s">
        <v>105</v>
      </c>
      <c r="AH2" s="3">
        <v>43485.8672106481</v>
      </c>
    </row>
    <row r="3" spans="1:34">
      <c r="A3" s="1">
        <v>26</v>
      </c>
      <c r="B3" s="2" t="s">
        <v>113</v>
      </c>
      <c r="C3" s="2" t="s">
        <v>114</v>
      </c>
      <c r="D3" s="2" t="s">
        <v>115</v>
      </c>
      <c r="E3" s="2" t="s">
        <v>46</v>
      </c>
      <c r="F3" s="2" t="s">
        <v>30</v>
      </c>
      <c r="G3" s="2" t="s">
        <v>116</v>
      </c>
      <c r="H3" s="2" t="s">
        <v>37</v>
      </c>
      <c r="I3" s="2" t="s">
        <v>117</v>
      </c>
      <c r="J3" s="2" t="s">
        <v>118</v>
      </c>
      <c r="K3" s="2" t="s">
        <v>119</v>
      </c>
      <c r="L3" s="2" t="s">
        <v>120</v>
      </c>
      <c r="M3" s="2" t="s">
        <v>52</v>
      </c>
      <c r="N3" s="2" t="s">
        <v>46</v>
      </c>
      <c r="O3" s="2" t="s">
        <v>46</v>
      </c>
      <c r="P3" s="2" t="s">
        <v>46</v>
      </c>
      <c r="Q3" s="2" t="s">
        <v>46</v>
      </c>
      <c r="R3" s="2" t="s">
        <v>52</v>
      </c>
      <c r="S3" s="2" t="s">
        <v>46</v>
      </c>
      <c r="T3" s="2" t="s">
        <v>46</v>
      </c>
      <c r="U3" s="2" t="s">
        <v>70</v>
      </c>
      <c r="V3" s="2" t="s">
        <v>46</v>
      </c>
      <c r="W3" s="2" t="s">
        <v>46</v>
      </c>
      <c r="X3" s="2" t="s">
        <v>37</v>
      </c>
      <c r="Y3" s="2" t="s">
        <v>121</v>
      </c>
      <c r="Z3" s="2" t="s">
        <v>122</v>
      </c>
      <c r="AA3" s="2" t="s">
        <v>123</v>
      </c>
      <c r="AB3" s="2" t="s">
        <v>124</v>
      </c>
      <c r="AC3" s="2" t="s">
        <v>125</v>
      </c>
      <c r="AD3" s="2" t="s">
        <v>126</v>
      </c>
      <c r="AE3" s="2" t="s">
        <v>98</v>
      </c>
      <c r="AF3" s="2" t="s">
        <v>127</v>
      </c>
      <c r="AG3" s="2" t="s">
        <v>105</v>
      </c>
      <c r="AH3" s="3">
        <v>43485.8672106481</v>
      </c>
    </row>
    <row r="4" spans="1:34">
      <c r="A4" s="1">
        <v>25</v>
      </c>
      <c r="B4" s="2" t="s">
        <v>113</v>
      </c>
      <c r="C4" s="2" t="s">
        <v>114</v>
      </c>
      <c r="D4" s="2" t="s">
        <v>115</v>
      </c>
      <c r="E4" s="2" t="s">
        <v>46</v>
      </c>
      <c r="F4" s="2" t="s">
        <v>30</v>
      </c>
      <c r="G4" s="2" t="s">
        <v>116</v>
      </c>
      <c r="H4" s="2" t="s">
        <v>37</v>
      </c>
      <c r="I4" s="2" t="s">
        <v>117</v>
      </c>
      <c r="J4" s="2" t="s">
        <v>118</v>
      </c>
      <c r="K4" s="2" t="s">
        <v>119</v>
      </c>
      <c r="L4" s="2" t="s">
        <v>120</v>
      </c>
      <c r="M4" s="2" t="s">
        <v>52</v>
      </c>
      <c r="N4" s="2" t="s">
        <v>46</v>
      </c>
      <c r="O4" s="2" t="s">
        <v>46</v>
      </c>
      <c r="P4" s="2" t="s">
        <v>46</v>
      </c>
      <c r="Q4" s="2" t="s">
        <v>46</v>
      </c>
      <c r="R4" s="2" t="s">
        <v>52</v>
      </c>
      <c r="S4" s="2" t="s">
        <v>46</v>
      </c>
      <c r="T4" s="2" t="s">
        <v>46</v>
      </c>
      <c r="U4" s="2" t="s">
        <v>70</v>
      </c>
      <c r="V4" s="2" t="s">
        <v>46</v>
      </c>
      <c r="W4" s="2" t="s">
        <v>46</v>
      </c>
      <c r="X4" s="2" t="s">
        <v>37</v>
      </c>
      <c r="Y4" s="2" t="s">
        <v>128</v>
      </c>
      <c r="Z4" s="2" t="s">
        <v>129</v>
      </c>
      <c r="AA4" s="2" t="s">
        <v>123</v>
      </c>
      <c r="AB4" s="2" t="s">
        <v>130</v>
      </c>
      <c r="AC4" s="2" t="s">
        <v>125</v>
      </c>
      <c r="AD4" s="2" t="s">
        <v>131</v>
      </c>
      <c r="AE4" s="2" t="s">
        <v>98</v>
      </c>
      <c r="AF4" s="2" t="s">
        <v>127</v>
      </c>
      <c r="AG4" s="2" t="s">
        <v>105</v>
      </c>
      <c r="AH4" s="3">
        <v>43485.8672106481</v>
      </c>
    </row>
    <row r="5" spans="1:34">
      <c r="A5" s="1">
        <v>24</v>
      </c>
      <c r="B5" s="2" t="s">
        <v>113</v>
      </c>
      <c r="C5" s="2" t="s">
        <v>114</v>
      </c>
      <c r="D5" s="2" t="s">
        <v>115</v>
      </c>
      <c r="E5" s="2" t="s">
        <v>46</v>
      </c>
      <c r="F5" s="2" t="s">
        <v>30</v>
      </c>
      <c r="G5" s="2" t="s">
        <v>116</v>
      </c>
      <c r="H5" s="2" t="s">
        <v>37</v>
      </c>
      <c r="I5" s="2" t="s">
        <v>117</v>
      </c>
      <c r="J5" s="2" t="s">
        <v>118</v>
      </c>
      <c r="K5" s="2" t="s">
        <v>119</v>
      </c>
      <c r="L5" s="2" t="s">
        <v>120</v>
      </c>
      <c r="M5" s="2" t="s">
        <v>52</v>
      </c>
      <c r="N5" s="2" t="s">
        <v>46</v>
      </c>
      <c r="O5" s="2" t="s">
        <v>46</v>
      </c>
      <c r="P5" s="2" t="s">
        <v>46</v>
      </c>
      <c r="Q5" s="2" t="s">
        <v>46</v>
      </c>
      <c r="R5" s="2" t="s">
        <v>52</v>
      </c>
      <c r="S5" s="2" t="s">
        <v>46</v>
      </c>
      <c r="T5" s="2" t="s">
        <v>46</v>
      </c>
      <c r="U5" s="2" t="s">
        <v>70</v>
      </c>
      <c r="V5" s="2" t="s">
        <v>46</v>
      </c>
      <c r="W5" s="2" t="s">
        <v>46</v>
      </c>
      <c r="X5" s="2" t="s">
        <v>70</v>
      </c>
      <c r="Y5" s="2" t="s">
        <v>46</v>
      </c>
      <c r="Z5" s="2" t="s">
        <v>46</v>
      </c>
      <c r="AA5" s="2" t="s">
        <v>123</v>
      </c>
      <c r="AB5" s="2" t="s">
        <v>132</v>
      </c>
      <c r="AC5" s="2" t="s">
        <v>125</v>
      </c>
      <c r="AD5" s="2" t="s">
        <v>133</v>
      </c>
      <c r="AE5" s="2" t="s">
        <v>98</v>
      </c>
      <c r="AF5" s="2" t="s">
        <v>127</v>
      </c>
      <c r="AG5" s="2" t="s">
        <v>105</v>
      </c>
      <c r="AH5" s="3">
        <v>43485.8672106481</v>
      </c>
    </row>
    <row r="6" spans="1:34">
      <c r="A6" s="1">
        <v>23</v>
      </c>
      <c r="B6" s="2" t="s">
        <v>134</v>
      </c>
      <c r="C6" s="2" t="s">
        <v>135</v>
      </c>
      <c r="D6" s="2" t="s">
        <v>136</v>
      </c>
      <c r="E6" s="2" t="s">
        <v>46</v>
      </c>
      <c r="F6" s="2" t="s">
        <v>30</v>
      </c>
      <c r="G6" s="2" t="s">
        <v>137</v>
      </c>
      <c r="H6" s="2" t="s">
        <v>37</v>
      </c>
      <c r="I6" s="2" t="s">
        <v>138</v>
      </c>
      <c r="J6" s="2" t="s">
        <v>139</v>
      </c>
      <c r="K6" s="2" t="s">
        <v>46</v>
      </c>
      <c r="L6" s="2" t="s">
        <v>140</v>
      </c>
      <c r="M6" s="2" t="s">
        <v>37</v>
      </c>
      <c r="N6" s="2" t="s">
        <v>138</v>
      </c>
      <c r="O6" s="2" t="s">
        <v>141</v>
      </c>
      <c r="P6" s="2" t="s">
        <v>46</v>
      </c>
      <c r="Q6" s="2" t="s">
        <v>142</v>
      </c>
      <c r="R6" s="2" t="s">
        <v>52</v>
      </c>
      <c r="S6" s="2" t="s">
        <v>46</v>
      </c>
      <c r="T6" s="2" t="s">
        <v>46</v>
      </c>
      <c r="U6" s="2" t="s">
        <v>70</v>
      </c>
      <c r="V6" s="2" t="s">
        <v>46</v>
      </c>
      <c r="W6" s="2" t="s">
        <v>46</v>
      </c>
      <c r="X6" s="2" t="s">
        <v>52</v>
      </c>
      <c r="Y6" s="2" t="s">
        <v>46</v>
      </c>
      <c r="Z6" s="2" t="s">
        <v>46</v>
      </c>
      <c r="AA6" s="2" t="s">
        <v>46</v>
      </c>
      <c r="AB6" s="2" t="s">
        <v>143</v>
      </c>
      <c r="AC6" s="2" t="s">
        <v>46</v>
      </c>
      <c r="AD6" s="2" t="s">
        <v>144</v>
      </c>
      <c r="AE6" s="2" t="s">
        <v>112</v>
      </c>
      <c r="AF6" s="2" t="s">
        <v>145</v>
      </c>
      <c r="AG6" s="2" t="s">
        <v>105</v>
      </c>
      <c r="AH6" s="3">
        <v>43485.8671990741</v>
      </c>
    </row>
    <row r="7" spans="1:34">
      <c r="A7" s="1">
        <v>22</v>
      </c>
      <c r="B7" s="2" t="s">
        <v>134</v>
      </c>
      <c r="C7" s="2" t="s">
        <v>135</v>
      </c>
      <c r="D7" s="2" t="s">
        <v>136</v>
      </c>
      <c r="E7" s="2" t="s">
        <v>46</v>
      </c>
      <c r="F7" s="2" t="s">
        <v>30</v>
      </c>
      <c r="G7" s="2" t="s">
        <v>146</v>
      </c>
      <c r="H7" s="2" t="s">
        <v>52</v>
      </c>
      <c r="I7" s="2" t="s">
        <v>46</v>
      </c>
      <c r="J7" s="2" t="s">
        <v>46</v>
      </c>
      <c r="K7" s="2" t="s">
        <v>46</v>
      </c>
      <c r="L7" s="2" t="s">
        <v>46</v>
      </c>
      <c r="M7" s="2" t="s">
        <v>70</v>
      </c>
      <c r="N7" s="2" t="s">
        <v>46</v>
      </c>
      <c r="O7" s="2" t="s">
        <v>46</v>
      </c>
      <c r="P7" s="2" t="s">
        <v>46</v>
      </c>
      <c r="Q7" s="2" t="s">
        <v>46</v>
      </c>
      <c r="R7" s="2" t="s">
        <v>37</v>
      </c>
      <c r="S7" s="2" t="s">
        <v>147</v>
      </c>
      <c r="T7" s="2" t="s">
        <v>148</v>
      </c>
      <c r="U7" s="2" t="s">
        <v>70</v>
      </c>
      <c r="V7" s="2" t="s">
        <v>46</v>
      </c>
      <c r="W7" s="2" t="s">
        <v>46</v>
      </c>
      <c r="X7" s="2" t="s">
        <v>37</v>
      </c>
      <c r="Y7" s="2" t="s">
        <v>121</v>
      </c>
      <c r="Z7" s="2" t="s">
        <v>149</v>
      </c>
      <c r="AA7" s="2" t="s">
        <v>46</v>
      </c>
      <c r="AB7" s="2" t="s">
        <v>150</v>
      </c>
      <c r="AC7" s="2" t="s">
        <v>46</v>
      </c>
      <c r="AD7" s="2" t="s">
        <v>151</v>
      </c>
      <c r="AE7" s="2" t="s">
        <v>112</v>
      </c>
      <c r="AF7" s="2" t="s">
        <v>152</v>
      </c>
      <c r="AG7" s="2" t="s">
        <v>105</v>
      </c>
      <c r="AH7" s="3">
        <v>43485.8671990741</v>
      </c>
    </row>
    <row r="8" spans="1:34">
      <c r="A8" s="1">
        <v>21</v>
      </c>
      <c r="B8" s="2" t="s">
        <v>134</v>
      </c>
      <c r="C8" s="2" t="s">
        <v>135</v>
      </c>
      <c r="D8" s="2" t="s">
        <v>136</v>
      </c>
      <c r="E8" s="2" t="s">
        <v>46</v>
      </c>
      <c r="F8" s="2" t="s">
        <v>30</v>
      </c>
      <c r="G8" s="2" t="s">
        <v>153</v>
      </c>
      <c r="H8" s="2" t="s">
        <v>52</v>
      </c>
      <c r="I8" s="2" t="s">
        <v>46</v>
      </c>
      <c r="J8" s="2" t="s">
        <v>46</v>
      </c>
      <c r="K8" s="2" t="s">
        <v>46</v>
      </c>
      <c r="L8" s="2" t="s">
        <v>46</v>
      </c>
      <c r="M8" s="2" t="s">
        <v>70</v>
      </c>
      <c r="N8" s="2" t="s">
        <v>46</v>
      </c>
      <c r="O8" s="2" t="s">
        <v>46</v>
      </c>
      <c r="P8" s="2" t="s">
        <v>46</v>
      </c>
      <c r="Q8" s="2" t="s">
        <v>46</v>
      </c>
      <c r="R8" s="2" t="s">
        <v>37</v>
      </c>
      <c r="S8" s="2" t="s">
        <v>147</v>
      </c>
      <c r="T8" s="2" t="s">
        <v>148</v>
      </c>
      <c r="U8" s="2" t="s">
        <v>70</v>
      </c>
      <c r="V8" s="2" t="s">
        <v>46</v>
      </c>
      <c r="W8" s="2" t="s">
        <v>46</v>
      </c>
      <c r="X8" s="2" t="s">
        <v>37</v>
      </c>
      <c r="Y8" s="2" t="s">
        <v>121</v>
      </c>
      <c r="Z8" s="2" t="s">
        <v>149</v>
      </c>
      <c r="AA8" s="2" t="s">
        <v>46</v>
      </c>
      <c r="AB8" s="2" t="s">
        <v>150</v>
      </c>
      <c r="AC8" s="2" t="s">
        <v>46</v>
      </c>
      <c r="AD8" s="2" t="s">
        <v>151</v>
      </c>
      <c r="AE8" s="2" t="s">
        <v>112</v>
      </c>
      <c r="AF8" s="2" t="s">
        <v>152</v>
      </c>
      <c r="AG8" s="2" t="s">
        <v>105</v>
      </c>
      <c r="AH8" s="3">
        <v>43485.8671990741</v>
      </c>
    </row>
    <row r="9" spans="1:34">
      <c r="A9" s="1">
        <v>20</v>
      </c>
      <c r="B9" s="2" t="s">
        <v>134</v>
      </c>
      <c r="C9" s="2" t="s">
        <v>135</v>
      </c>
      <c r="D9" s="2" t="s">
        <v>136</v>
      </c>
      <c r="E9" s="2" t="s">
        <v>46</v>
      </c>
      <c r="F9" s="2" t="s">
        <v>30</v>
      </c>
      <c r="G9" s="2" t="s">
        <v>154</v>
      </c>
      <c r="H9" s="2" t="s">
        <v>52</v>
      </c>
      <c r="I9" s="2" t="s">
        <v>46</v>
      </c>
      <c r="J9" s="2" t="s">
        <v>46</v>
      </c>
      <c r="K9" s="2" t="s">
        <v>46</v>
      </c>
      <c r="L9" s="2" t="s">
        <v>46</v>
      </c>
      <c r="M9" s="2" t="s">
        <v>70</v>
      </c>
      <c r="N9" s="2" t="s">
        <v>46</v>
      </c>
      <c r="O9" s="2" t="s">
        <v>46</v>
      </c>
      <c r="P9" s="2" t="s">
        <v>46</v>
      </c>
      <c r="Q9" s="2" t="s">
        <v>46</v>
      </c>
      <c r="R9" s="2" t="s">
        <v>37</v>
      </c>
      <c r="S9" s="2" t="s">
        <v>147</v>
      </c>
      <c r="T9" s="2" t="s">
        <v>148</v>
      </c>
      <c r="U9" s="2" t="s">
        <v>70</v>
      </c>
      <c r="V9" s="2" t="s">
        <v>46</v>
      </c>
      <c r="W9" s="2" t="s">
        <v>46</v>
      </c>
      <c r="X9" s="2" t="s">
        <v>37</v>
      </c>
      <c r="Y9" s="2" t="s">
        <v>121</v>
      </c>
      <c r="Z9" s="2" t="s">
        <v>149</v>
      </c>
      <c r="AA9" s="2" t="s">
        <v>46</v>
      </c>
      <c r="AB9" s="2" t="s">
        <v>150</v>
      </c>
      <c r="AC9" s="2" t="s">
        <v>46</v>
      </c>
      <c r="AD9" s="2" t="s">
        <v>151</v>
      </c>
      <c r="AE9" s="2" t="s">
        <v>112</v>
      </c>
      <c r="AF9" s="2" t="s">
        <v>152</v>
      </c>
      <c r="AG9" s="2" t="s">
        <v>105</v>
      </c>
      <c r="AH9" s="3">
        <v>43485.8671990741</v>
      </c>
    </row>
    <row r="10" spans="1:34">
      <c r="A10" s="1">
        <v>19</v>
      </c>
      <c r="B10" s="2" t="s">
        <v>134</v>
      </c>
      <c r="C10" s="2" t="s">
        <v>135</v>
      </c>
      <c r="D10" s="2" t="s">
        <v>136</v>
      </c>
      <c r="E10" s="2" t="s">
        <v>46</v>
      </c>
      <c r="F10" s="2" t="s">
        <v>30</v>
      </c>
      <c r="G10" s="2" t="s">
        <v>155</v>
      </c>
      <c r="H10" s="2" t="s">
        <v>52</v>
      </c>
      <c r="I10" s="2" t="s">
        <v>46</v>
      </c>
      <c r="J10" s="2" t="s">
        <v>46</v>
      </c>
      <c r="K10" s="2" t="s">
        <v>46</v>
      </c>
      <c r="L10" s="2" t="s">
        <v>46</v>
      </c>
      <c r="M10" s="2" t="s">
        <v>70</v>
      </c>
      <c r="N10" s="2" t="s">
        <v>46</v>
      </c>
      <c r="O10" s="2" t="s">
        <v>46</v>
      </c>
      <c r="P10" s="2" t="s">
        <v>46</v>
      </c>
      <c r="Q10" s="2" t="s">
        <v>46</v>
      </c>
      <c r="R10" s="2" t="s">
        <v>37</v>
      </c>
      <c r="S10" s="2" t="s">
        <v>147</v>
      </c>
      <c r="T10" s="2" t="s">
        <v>148</v>
      </c>
      <c r="U10" s="2" t="s">
        <v>70</v>
      </c>
      <c r="V10" s="2" t="s">
        <v>46</v>
      </c>
      <c r="W10" s="2" t="s">
        <v>46</v>
      </c>
      <c r="X10" s="2" t="s">
        <v>37</v>
      </c>
      <c r="Y10" s="2" t="s">
        <v>121</v>
      </c>
      <c r="Z10" s="2" t="s">
        <v>149</v>
      </c>
      <c r="AA10" s="2" t="s">
        <v>46</v>
      </c>
      <c r="AB10" s="2" t="s">
        <v>150</v>
      </c>
      <c r="AC10" s="2" t="s">
        <v>46</v>
      </c>
      <c r="AD10" s="2" t="s">
        <v>151</v>
      </c>
      <c r="AE10" s="2" t="s">
        <v>112</v>
      </c>
      <c r="AF10" s="2" t="s">
        <v>152</v>
      </c>
      <c r="AG10" s="2" t="s">
        <v>105</v>
      </c>
      <c r="AH10" s="3">
        <v>43485.8670833333</v>
      </c>
    </row>
    <row r="11" spans="1:34">
      <c r="A11" s="1">
        <v>18</v>
      </c>
      <c r="B11" s="2" t="s">
        <v>156</v>
      </c>
      <c r="C11" s="2" t="s">
        <v>157</v>
      </c>
      <c r="D11" s="2" t="s">
        <v>24</v>
      </c>
      <c r="E11" s="2" t="s">
        <v>27</v>
      </c>
      <c r="F11" s="2" t="s">
        <v>30</v>
      </c>
      <c r="G11" s="2" t="s">
        <v>108</v>
      </c>
      <c r="H11" s="2" t="s">
        <v>37</v>
      </c>
      <c r="I11" s="2" t="s">
        <v>40</v>
      </c>
      <c r="J11" s="2" t="s">
        <v>158</v>
      </c>
      <c r="K11" s="2" t="s">
        <v>46</v>
      </c>
      <c r="L11" s="2" t="s">
        <v>159</v>
      </c>
      <c r="M11" s="2" t="s">
        <v>70</v>
      </c>
      <c r="N11" s="2" t="s">
        <v>46</v>
      </c>
      <c r="O11" s="2" t="s">
        <v>46</v>
      </c>
      <c r="P11" s="2" t="s">
        <v>46</v>
      </c>
      <c r="Q11" s="2" t="s">
        <v>46</v>
      </c>
      <c r="R11" s="2" t="s">
        <v>70</v>
      </c>
      <c r="S11" s="2" t="s">
        <v>46</v>
      </c>
      <c r="T11" s="2" t="s">
        <v>46</v>
      </c>
      <c r="U11" s="2" t="s">
        <v>70</v>
      </c>
      <c r="V11" s="2" t="s">
        <v>46</v>
      </c>
      <c r="W11" s="2" t="s">
        <v>46</v>
      </c>
      <c r="X11" s="2" t="s">
        <v>37</v>
      </c>
      <c r="Y11" s="2" t="s">
        <v>80</v>
      </c>
      <c r="Z11" s="2" t="s">
        <v>160</v>
      </c>
      <c r="AA11" s="2" t="s">
        <v>123</v>
      </c>
      <c r="AB11" s="2" t="s">
        <v>130</v>
      </c>
      <c r="AC11" s="2" t="s">
        <v>46</v>
      </c>
      <c r="AD11" s="2" t="s">
        <v>161</v>
      </c>
      <c r="AE11" s="2" t="s">
        <v>112</v>
      </c>
      <c r="AF11" s="2" t="s">
        <v>162</v>
      </c>
      <c r="AG11" s="2" t="s">
        <v>105</v>
      </c>
      <c r="AH11" s="3">
        <v>43482.4276157407</v>
      </c>
    </row>
    <row r="12" spans="1:34">
      <c r="A12" s="1">
        <v>17</v>
      </c>
      <c r="B12" s="2" t="s">
        <v>156</v>
      </c>
      <c r="C12" s="2" t="s">
        <v>157</v>
      </c>
      <c r="D12" s="2" t="s">
        <v>24</v>
      </c>
      <c r="E12" s="2" t="s">
        <v>27</v>
      </c>
      <c r="F12" s="2" t="s">
        <v>30</v>
      </c>
      <c r="G12" s="2" t="s">
        <v>108</v>
      </c>
      <c r="H12" s="2" t="s">
        <v>37</v>
      </c>
      <c r="I12" s="2" t="s">
        <v>40</v>
      </c>
      <c r="J12" s="2" t="s">
        <v>158</v>
      </c>
      <c r="K12" s="2" t="s">
        <v>46</v>
      </c>
      <c r="L12" s="2" t="s">
        <v>159</v>
      </c>
      <c r="M12" s="2" t="s">
        <v>70</v>
      </c>
      <c r="N12" s="2" t="s">
        <v>46</v>
      </c>
      <c r="O12" s="2" t="s">
        <v>46</v>
      </c>
      <c r="P12" s="2" t="s">
        <v>46</v>
      </c>
      <c r="Q12" s="2" t="s">
        <v>46</v>
      </c>
      <c r="R12" s="2" t="s">
        <v>70</v>
      </c>
      <c r="S12" s="2" t="s">
        <v>46</v>
      </c>
      <c r="T12" s="2" t="s">
        <v>46</v>
      </c>
      <c r="U12" s="2" t="s">
        <v>70</v>
      </c>
      <c r="V12" s="2" t="s">
        <v>46</v>
      </c>
      <c r="W12" s="2" t="s">
        <v>46</v>
      </c>
      <c r="X12" s="2" t="s">
        <v>37</v>
      </c>
      <c r="Y12" s="2" t="s">
        <v>80</v>
      </c>
      <c r="Z12" s="2" t="s">
        <v>163</v>
      </c>
      <c r="AA12" s="2" t="s">
        <v>123</v>
      </c>
      <c r="AB12" s="2" t="s">
        <v>130</v>
      </c>
      <c r="AC12" s="2" t="s">
        <v>46</v>
      </c>
      <c r="AD12" s="2" t="s">
        <v>161</v>
      </c>
      <c r="AE12" s="2" t="s">
        <v>112</v>
      </c>
      <c r="AF12" s="2" t="s">
        <v>162</v>
      </c>
      <c r="AG12" s="2" t="s">
        <v>105</v>
      </c>
      <c r="AH12" s="3">
        <v>43482.4276157407</v>
      </c>
    </row>
    <row r="13" spans="1:34">
      <c r="A13" s="1">
        <v>16</v>
      </c>
      <c r="B13" s="2" t="s">
        <v>156</v>
      </c>
      <c r="C13" s="2" t="s">
        <v>157</v>
      </c>
      <c r="D13" s="2" t="s">
        <v>24</v>
      </c>
      <c r="E13" s="2" t="s">
        <v>27</v>
      </c>
      <c r="F13" s="2" t="s">
        <v>30</v>
      </c>
      <c r="G13" s="2" t="s">
        <v>108</v>
      </c>
      <c r="H13" s="2" t="s">
        <v>37</v>
      </c>
      <c r="I13" s="2" t="s">
        <v>40</v>
      </c>
      <c r="J13" s="2" t="s">
        <v>158</v>
      </c>
      <c r="K13" s="2" t="s">
        <v>46</v>
      </c>
      <c r="L13" s="2" t="s">
        <v>159</v>
      </c>
      <c r="M13" s="2" t="s">
        <v>70</v>
      </c>
      <c r="N13" s="2" t="s">
        <v>46</v>
      </c>
      <c r="O13" s="2" t="s">
        <v>46</v>
      </c>
      <c r="P13" s="2" t="s">
        <v>46</v>
      </c>
      <c r="Q13" s="2" t="s">
        <v>46</v>
      </c>
      <c r="R13" s="2" t="s">
        <v>70</v>
      </c>
      <c r="S13" s="2" t="s">
        <v>46</v>
      </c>
      <c r="T13" s="2" t="s">
        <v>46</v>
      </c>
      <c r="U13" s="2" t="s">
        <v>70</v>
      </c>
      <c r="V13" s="2" t="s">
        <v>46</v>
      </c>
      <c r="W13" s="2" t="s">
        <v>46</v>
      </c>
      <c r="X13" s="2" t="s">
        <v>37</v>
      </c>
      <c r="Y13" s="2" t="s">
        <v>80</v>
      </c>
      <c r="Z13" s="2" t="s">
        <v>164</v>
      </c>
      <c r="AA13" s="2" t="s">
        <v>123</v>
      </c>
      <c r="AB13" s="2" t="s">
        <v>130</v>
      </c>
      <c r="AC13" s="2" t="s">
        <v>46</v>
      </c>
      <c r="AD13" s="2" t="s">
        <v>161</v>
      </c>
      <c r="AE13" s="2" t="s">
        <v>112</v>
      </c>
      <c r="AF13" s="2" t="s">
        <v>162</v>
      </c>
      <c r="AG13" s="2" t="s">
        <v>105</v>
      </c>
      <c r="AH13" s="3">
        <v>43482.4276157407</v>
      </c>
    </row>
    <row r="14" spans="1:34">
      <c r="A14" s="1">
        <v>15</v>
      </c>
      <c r="B14" s="2" t="s">
        <v>156</v>
      </c>
      <c r="C14" s="2" t="s">
        <v>157</v>
      </c>
      <c r="D14" s="2" t="s">
        <v>24</v>
      </c>
      <c r="E14" s="2" t="s">
        <v>27</v>
      </c>
      <c r="F14" s="2" t="s">
        <v>30</v>
      </c>
      <c r="G14" s="2" t="s">
        <v>108</v>
      </c>
      <c r="H14" s="2" t="s">
        <v>37</v>
      </c>
      <c r="I14" s="2" t="s">
        <v>40</v>
      </c>
      <c r="J14" s="2" t="s">
        <v>158</v>
      </c>
      <c r="K14" s="2" t="s">
        <v>46</v>
      </c>
      <c r="L14" s="2" t="s">
        <v>159</v>
      </c>
      <c r="M14" s="2" t="s">
        <v>70</v>
      </c>
      <c r="N14" s="2" t="s">
        <v>46</v>
      </c>
      <c r="O14" s="2" t="s">
        <v>46</v>
      </c>
      <c r="P14" s="2" t="s">
        <v>46</v>
      </c>
      <c r="Q14" s="2" t="s">
        <v>46</v>
      </c>
      <c r="R14" s="2" t="s">
        <v>70</v>
      </c>
      <c r="S14" s="2" t="s">
        <v>46</v>
      </c>
      <c r="T14" s="2" t="s">
        <v>46</v>
      </c>
      <c r="U14" s="2" t="s">
        <v>70</v>
      </c>
      <c r="V14" s="2" t="s">
        <v>46</v>
      </c>
      <c r="W14" s="2" t="s">
        <v>46</v>
      </c>
      <c r="X14" s="2" t="s">
        <v>37</v>
      </c>
      <c r="Y14" s="2" t="s">
        <v>80</v>
      </c>
      <c r="Z14" s="2" t="s">
        <v>165</v>
      </c>
      <c r="AA14" s="2" t="s">
        <v>123</v>
      </c>
      <c r="AB14" s="2" t="s">
        <v>130</v>
      </c>
      <c r="AC14" s="2" t="s">
        <v>46</v>
      </c>
      <c r="AD14" s="2" t="s">
        <v>161</v>
      </c>
      <c r="AE14" s="2" t="s">
        <v>112</v>
      </c>
      <c r="AF14" s="2" t="s">
        <v>162</v>
      </c>
      <c r="AG14" s="2" t="s">
        <v>105</v>
      </c>
      <c r="AH14" s="3">
        <v>43482.4276157407</v>
      </c>
    </row>
    <row r="15" spans="1:34">
      <c r="A15" s="1">
        <v>14</v>
      </c>
      <c r="B15" s="2" t="s">
        <v>156</v>
      </c>
      <c r="C15" s="2" t="s">
        <v>157</v>
      </c>
      <c r="D15" s="2" t="s">
        <v>24</v>
      </c>
      <c r="E15" s="2" t="s">
        <v>27</v>
      </c>
      <c r="F15" s="2" t="s">
        <v>30</v>
      </c>
      <c r="G15" s="2" t="s">
        <v>108</v>
      </c>
      <c r="H15" s="2" t="s">
        <v>37</v>
      </c>
      <c r="I15" s="2" t="s">
        <v>40</v>
      </c>
      <c r="J15" s="2" t="s">
        <v>158</v>
      </c>
      <c r="K15" s="2" t="s">
        <v>46</v>
      </c>
      <c r="L15" s="2" t="s">
        <v>159</v>
      </c>
      <c r="M15" s="2" t="s">
        <v>70</v>
      </c>
      <c r="N15" s="2" t="s">
        <v>46</v>
      </c>
      <c r="O15" s="2" t="s">
        <v>46</v>
      </c>
      <c r="P15" s="2" t="s">
        <v>46</v>
      </c>
      <c r="Q15" s="2" t="s">
        <v>46</v>
      </c>
      <c r="R15" s="2" t="s">
        <v>70</v>
      </c>
      <c r="S15" s="2" t="s">
        <v>46</v>
      </c>
      <c r="T15" s="2" t="s">
        <v>46</v>
      </c>
      <c r="U15" s="2" t="s">
        <v>70</v>
      </c>
      <c r="V15" s="2" t="s">
        <v>46</v>
      </c>
      <c r="W15" s="2" t="s">
        <v>46</v>
      </c>
      <c r="X15" s="2" t="s">
        <v>37</v>
      </c>
      <c r="Y15" s="2" t="s">
        <v>80</v>
      </c>
      <c r="Z15" s="2" t="s">
        <v>166</v>
      </c>
      <c r="AA15" s="2" t="s">
        <v>123</v>
      </c>
      <c r="AB15" s="2" t="s">
        <v>130</v>
      </c>
      <c r="AC15" s="2" t="s">
        <v>46</v>
      </c>
      <c r="AD15" s="2" t="s">
        <v>161</v>
      </c>
      <c r="AE15" s="2" t="s">
        <v>112</v>
      </c>
      <c r="AF15" s="2" t="s">
        <v>162</v>
      </c>
      <c r="AG15" s="2" t="s">
        <v>105</v>
      </c>
      <c r="AH15" s="3">
        <v>43482.4276157407</v>
      </c>
    </row>
    <row r="16" spans="1:34">
      <c r="A16" s="1">
        <v>13</v>
      </c>
      <c r="B16" s="2" t="s">
        <v>156</v>
      </c>
      <c r="C16" s="2" t="s">
        <v>157</v>
      </c>
      <c r="D16" s="2" t="s">
        <v>24</v>
      </c>
      <c r="E16" s="2" t="s">
        <v>27</v>
      </c>
      <c r="F16" s="2" t="s">
        <v>30</v>
      </c>
      <c r="G16" s="2" t="s">
        <v>108</v>
      </c>
      <c r="H16" s="2" t="s">
        <v>37</v>
      </c>
      <c r="I16" s="2" t="s">
        <v>40</v>
      </c>
      <c r="J16" s="2" t="s">
        <v>158</v>
      </c>
      <c r="K16" s="2" t="s">
        <v>46</v>
      </c>
      <c r="L16" s="2" t="s">
        <v>159</v>
      </c>
      <c r="M16" s="2" t="s">
        <v>70</v>
      </c>
      <c r="N16" s="2" t="s">
        <v>46</v>
      </c>
      <c r="O16" s="2" t="s">
        <v>46</v>
      </c>
      <c r="P16" s="2" t="s">
        <v>46</v>
      </c>
      <c r="Q16" s="2" t="s">
        <v>46</v>
      </c>
      <c r="R16" s="2" t="s">
        <v>70</v>
      </c>
      <c r="S16" s="2" t="s">
        <v>46</v>
      </c>
      <c r="T16" s="2" t="s">
        <v>46</v>
      </c>
      <c r="U16" s="2" t="s">
        <v>70</v>
      </c>
      <c r="V16" s="2" t="s">
        <v>46</v>
      </c>
      <c r="W16" s="2" t="s">
        <v>46</v>
      </c>
      <c r="X16" s="2" t="s">
        <v>37</v>
      </c>
      <c r="Y16" s="2" t="s">
        <v>128</v>
      </c>
      <c r="Z16" s="2" t="s">
        <v>167</v>
      </c>
      <c r="AA16" s="2" t="s">
        <v>123</v>
      </c>
      <c r="AB16" s="2" t="s">
        <v>130</v>
      </c>
      <c r="AC16" s="2" t="s">
        <v>46</v>
      </c>
      <c r="AD16" s="2" t="s">
        <v>161</v>
      </c>
      <c r="AE16" s="2" t="s">
        <v>112</v>
      </c>
      <c r="AF16" s="2" t="s">
        <v>162</v>
      </c>
      <c r="AG16" s="2" t="s">
        <v>105</v>
      </c>
      <c r="AH16" s="3">
        <v>43482.4276157407</v>
      </c>
    </row>
    <row r="17" spans="1:34">
      <c r="A17" s="1">
        <v>12</v>
      </c>
      <c r="B17" s="2" t="s">
        <v>156</v>
      </c>
      <c r="C17" s="2" t="s">
        <v>157</v>
      </c>
      <c r="D17" s="2" t="s">
        <v>24</v>
      </c>
      <c r="E17" s="2" t="s">
        <v>27</v>
      </c>
      <c r="F17" s="2" t="s">
        <v>30</v>
      </c>
      <c r="G17" s="2" t="s">
        <v>108</v>
      </c>
      <c r="H17" s="2" t="s">
        <v>37</v>
      </c>
      <c r="I17" s="2" t="s">
        <v>40</v>
      </c>
      <c r="J17" s="2" t="s">
        <v>158</v>
      </c>
      <c r="K17" s="2" t="s">
        <v>46</v>
      </c>
      <c r="L17" s="2" t="s">
        <v>159</v>
      </c>
      <c r="M17" s="2" t="s">
        <v>70</v>
      </c>
      <c r="N17" s="2" t="s">
        <v>46</v>
      </c>
      <c r="O17" s="2" t="s">
        <v>46</v>
      </c>
      <c r="P17" s="2" t="s">
        <v>46</v>
      </c>
      <c r="Q17" s="2" t="s">
        <v>46</v>
      </c>
      <c r="R17" s="2" t="s">
        <v>70</v>
      </c>
      <c r="S17" s="2" t="s">
        <v>46</v>
      </c>
      <c r="T17" s="2" t="s">
        <v>46</v>
      </c>
      <c r="U17" s="2" t="s">
        <v>70</v>
      </c>
      <c r="V17" s="2" t="s">
        <v>46</v>
      </c>
      <c r="W17" s="2" t="s">
        <v>46</v>
      </c>
      <c r="X17" s="2" t="s">
        <v>37</v>
      </c>
      <c r="Y17" s="2" t="s">
        <v>128</v>
      </c>
      <c r="Z17" s="2" t="s">
        <v>168</v>
      </c>
      <c r="AA17" s="2" t="s">
        <v>123</v>
      </c>
      <c r="AB17" s="2" t="s">
        <v>130</v>
      </c>
      <c r="AC17" s="2" t="s">
        <v>46</v>
      </c>
      <c r="AD17" s="2" t="s">
        <v>161</v>
      </c>
      <c r="AE17" s="2" t="s">
        <v>112</v>
      </c>
      <c r="AF17" s="2" t="s">
        <v>162</v>
      </c>
      <c r="AG17" s="2" t="s">
        <v>105</v>
      </c>
      <c r="AH17" s="3">
        <v>43482.4276157407</v>
      </c>
    </row>
    <row r="18" spans="1:34">
      <c r="A18" s="1">
        <v>11</v>
      </c>
      <c r="B18" s="2" t="s">
        <v>156</v>
      </c>
      <c r="C18" s="2" t="s">
        <v>157</v>
      </c>
      <c r="D18" s="2" t="s">
        <v>24</v>
      </c>
      <c r="E18" s="2" t="s">
        <v>27</v>
      </c>
      <c r="F18" s="2" t="s">
        <v>30</v>
      </c>
      <c r="G18" s="2" t="s">
        <v>108</v>
      </c>
      <c r="H18" s="2" t="s">
        <v>37</v>
      </c>
      <c r="I18" s="2" t="s">
        <v>40</v>
      </c>
      <c r="J18" s="2" t="s">
        <v>158</v>
      </c>
      <c r="K18" s="2" t="s">
        <v>46</v>
      </c>
      <c r="L18" s="2" t="s">
        <v>159</v>
      </c>
      <c r="M18" s="2" t="s">
        <v>70</v>
      </c>
      <c r="N18" s="2" t="s">
        <v>46</v>
      </c>
      <c r="O18" s="2" t="s">
        <v>46</v>
      </c>
      <c r="P18" s="2" t="s">
        <v>46</v>
      </c>
      <c r="Q18" s="2" t="s">
        <v>46</v>
      </c>
      <c r="R18" s="2" t="s">
        <v>70</v>
      </c>
      <c r="S18" s="2" t="s">
        <v>46</v>
      </c>
      <c r="T18" s="2" t="s">
        <v>46</v>
      </c>
      <c r="U18" s="2" t="s">
        <v>70</v>
      </c>
      <c r="V18" s="2" t="s">
        <v>46</v>
      </c>
      <c r="W18" s="2" t="s">
        <v>46</v>
      </c>
      <c r="X18" s="2" t="s">
        <v>37</v>
      </c>
      <c r="Y18" s="2" t="s">
        <v>128</v>
      </c>
      <c r="Z18" s="2" t="s">
        <v>169</v>
      </c>
      <c r="AA18" s="2" t="s">
        <v>123</v>
      </c>
      <c r="AB18" s="2" t="s">
        <v>130</v>
      </c>
      <c r="AC18" s="2" t="s">
        <v>46</v>
      </c>
      <c r="AD18" s="2" t="s">
        <v>161</v>
      </c>
      <c r="AE18" s="2" t="s">
        <v>112</v>
      </c>
      <c r="AF18" s="2" t="s">
        <v>162</v>
      </c>
      <c r="AG18" s="2" t="s">
        <v>105</v>
      </c>
      <c r="AH18" s="3">
        <v>43482.4276157407</v>
      </c>
    </row>
    <row r="19" spans="1:34">
      <c r="A19" s="1">
        <v>10</v>
      </c>
      <c r="B19" s="2" t="s">
        <v>156</v>
      </c>
      <c r="C19" s="2" t="s">
        <v>157</v>
      </c>
      <c r="D19" s="2" t="s">
        <v>24</v>
      </c>
      <c r="E19" s="2" t="s">
        <v>27</v>
      </c>
      <c r="F19" s="2" t="s">
        <v>30</v>
      </c>
      <c r="G19" s="2" t="s">
        <v>108</v>
      </c>
      <c r="H19" s="2" t="s">
        <v>37</v>
      </c>
      <c r="I19" s="2" t="s">
        <v>40</v>
      </c>
      <c r="J19" s="2" t="s">
        <v>158</v>
      </c>
      <c r="K19" s="2" t="s">
        <v>46</v>
      </c>
      <c r="L19" s="2" t="s">
        <v>159</v>
      </c>
      <c r="M19" s="2" t="s">
        <v>70</v>
      </c>
      <c r="N19" s="2" t="s">
        <v>46</v>
      </c>
      <c r="O19" s="2" t="s">
        <v>46</v>
      </c>
      <c r="P19" s="2" t="s">
        <v>46</v>
      </c>
      <c r="Q19" s="2" t="s">
        <v>46</v>
      </c>
      <c r="R19" s="2" t="s">
        <v>70</v>
      </c>
      <c r="S19" s="2" t="s">
        <v>46</v>
      </c>
      <c r="T19" s="2" t="s">
        <v>46</v>
      </c>
      <c r="U19" s="2" t="s">
        <v>70</v>
      </c>
      <c r="V19" s="2" t="s">
        <v>46</v>
      </c>
      <c r="W19" s="2" t="s">
        <v>46</v>
      </c>
      <c r="X19" s="2" t="s">
        <v>52</v>
      </c>
      <c r="Y19" s="2" t="s">
        <v>46</v>
      </c>
      <c r="Z19" s="2" t="s">
        <v>46</v>
      </c>
      <c r="AA19" s="2" t="s">
        <v>123</v>
      </c>
      <c r="AB19" s="2" t="s">
        <v>89</v>
      </c>
      <c r="AC19" s="2" t="s">
        <v>46</v>
      </c>
      <c r="AD19" s="2" t="s">
        <v>170</v>
      </c>
      <c r="AE19" s="2" t="s">
        <v>112</v>
      </c>
      <c r="AF19" s="2" t="s">
        <v>162</v>
      </c>
      <c r="AG19" s="2" t="s">
        <v>105</v>
      </c>
      <c r="AH19" s="3">
        <v>43482.4275578704</v>
      </c>
    </row>
    <row r="20" spans="1:34">
      <c r="A20" s="1">
        <v>9</v>
      </c>
      <c r="B20" s="2" t="s">
        <v>171</v>
      </c>
      <c r="C20" s="2" t="s">
        <v>172</v>
      </c>
      <c r="D20" s="2" t="s">
        <v>173</v>
      </c>
      <c r="E20" s="2" t="s">
        <v>174</v>
      </c>
      <c r="F20" s="2" t="s">
        <v>30</v>
      </c>
      <c r="G20" s="2" t="s">
        <v>175</v>
      </c>
      <c r="H20" s="2" t="s">
        <v>37</v>
      </c>
      <c r="I20" s="2" t="s">
        <v>40</v>
      </c>
      <c r="J20" s="2" t="s">
        <v>176</v>
      </c>
      <c r="K20" s="2" t="s">
        <v>46</v>
      </c>
      <c r="L20" s="2" t="s">
        <v>177</v>
      </c>
      <c r="M20" s="2" t="s">
        <v>70</v>
      </c>
      <c r="N20" s="2" t="s">
        <v>46</v>
      </c>
      <c r="O20" s="2" t="s">
        <v>46</v>
      </c>
      <c r="P20" s="2" t="s">
        <v>46</v>
      </c>
      <c r="Q20" s="2" t="s">
        <v>46</v>
      </c>
      <c r="R20" s="2" t="s">
        <v>70</v>
      </c>
      <c r="S20" s="2" t="s">
        <v>46</v>
      </c>
      <c r="T20" s="2" t="s">
        <v>46</v>
      </c>
      <c r="U20" s="2" t="s">
        <v>70</v>
      </c>
      <c r="V20" s="2" t="s">
        <v>46</v>
      </c>
      <c r="W20" s="2" t="s">
        <v>46</v>
      </c>
      <c r="X20" s="2" t="s">
        <v>37</v>
      </c>
      <c r="Y20" s="2" t="s">
        <v>128</v>
      </c>
      <c r="Z20" s="2" t="s">
        <v>178</v>
      </c>
      <c r="AA20" s="2" t="s">
        <v>179</v>
      </c>
      <c r="AB20" s="2" t="s">
        <v>132</v>
      </c>
      <c r="AC20" s="2" t="s">
        <v>46</v>
      </c>
      <c r="AD20" s="2" t="s">
        <v>180</v>
      </c>
      <c r="AE20" s="2" t="s">
        <v>112</v>
      </c>
      <c r="AF20" s="2" t="s">
        <v>181</v>
      </c>
      <c r="AG20" s="2" t="s">
        <v>105</v>
      </c>
      <c r="AH20" s="3">
        <v>43480.6892013889</v>
      </c>
    </row>
    <row r="21" spans="1:34">
      <c r="A21" s="1">
        <v>8</v>
      </c>
      <c r="B21" s="2" t="s">
        <v>171</v>
      </c>
      <c r="C21" s="2" t="s">
        <v>172</v>
      </c>
      <c r="D21" s="2" t="s">
        <v>173</v>
      </c>
      <c r="E21" s="2" t="s">
        <v>174</v>
      </c>
      <c r="F21" s="2" t="s">
        <v>30</v>
      </c>
      <c r="G21" s="2" t="s">
        <v>175</v>
      </c>
      <c r="H21" s="2" t="s">
        <v>37</v>
      </c>
      <c r="I21" s="2" t="s">
        <v>40</v>
      </c>
      <c r="J21" s="2" t="s">
        <v>176</v>
      </c>
      <c r="K21" s="2" t="s">
        <v>46</v>
      </c>
      <c r="L21" s="2" t="s">
        <v>182</v>
      </c>
      <c r="M21" s="2" t="s">
        <v>70</v>
      </c>
      <c r="N21" s="2" t="s">
        <v>46</v>
      </c>
      <c r="O21" s="2" t="s">
        <v>46</v>
      </c>
      <c r="P21" s="2" t="s">
        <v>46</v>
      </c>
      <c r="Q21" s="2" t="s">
        <v>46</v>
      </c>
      <c r="R21" s="2" t="s">
        <v>70</v>
      </c>
      <c r="S21" s="2" t="s">
        <v>46</v>
      </c>
      <c r="T21" s="2" t="s">
        <v>46</v>
      </c>
      <c r="U21" s="2" t="s">
        <v>70</v>
      </c>
      <c r="V21" s="2" t="s">
        <v>46</v>
      </c>
      <c r="W21" s="2" t="s">
        <v>46</v>
      </c>
      <c r="X21" s="2" t="s">
        <v>37</v>
      </c>
      <c r="Y21" s="2" t="s">
        <v>128</v>
      </c>
      <c r="Z21" s="2" t="s">
        <v>183</v>
      </c>
      <c r="AA21" s="2" t="s">
        <v>179</v>
      </c>
      <c r="AB21" s="2" t="s">
        <v>132</v>
      </c>
      <c r="AC21" s="2" t="s">
        <v>46</v>
      </c>
      <c r="AD21" s="2" t="s">
        <v>184</v>
      </c>
      <c r="AE21" s="2" t="s">
        <v>185</v>
      </c>
      <c r="AF21" s="2" t="s">
        <v>186</v>
      </c>
      <c r="AG21" s="2" t="s">
        <v>105</v>
      </c>
      <c r="AH21" s="3">
        <v>43480.6878009259</v>
      </c>
    </row>
    <row r="22" spans="1:34">
      <c r="A22" s="1">
        <v>7</v>
      </c>
      <c r="B22" s="2" t="s">
        <v>171</v>
      </c>
      <c r="C22" s="2" t="s">
        <v>172</v>
      </c>
      <c r="D22" s="2" t="s">
        <v>173</v>
      </c>
      <c r="E22" s="2" t="s">
        <v>174</v>
      </c>
      <c r="F22" s="2" t="s">
        <v>30</v>
      </c>
      <c r="G22" s="2" t="s">
        <v>175</v>
      </c>
      <c r="H22" s="2" t="s">
        <v>37</v>
      </c>
      <c r="I22" s="2" t="s">
        <v>40</v>
      </c>
      <c r="J22" s="2" t="s">
        <v>176</v>
      </c>
      <c r="K22" s="2" t="s">
        <v>46</v>
      </c>
      <c r="L22" s="2" t="s">
        <v>182</v>
      </c>
      <c r="M22" s="2" t="s">
        <v>70</v>
      </c>
      <c r="N22" s="2" t="s">
        <v>46</v>
      </c>
      <c r="O22" s="2" t="s">
        <v>46</v>
      </c>
      <c r="P22" s="2" t="s">
        <v>46</v>
      </c>
      <c r="Q22" s="2" t="s">
        <v>46</v>
      </c>
      <c r="R22" s="2" t="s">
        <v>70</v>
      </c>
      <c r="S22" s="2" t="s">
        <v>46</v>
      </c>
      <c r="T22" s="2" t="s">
        <v>46</v>
      </c>
      <c r="U22" s="2" t="s">
        <v>70</v>
      </c>
      <c r="V22" s="2" t="s">
        <v>46</v>
      </c>
      <c r="W22" s="2" t="s">
        <v>46</v>
      </c>
      <c r="X22" s="2" t="s">
        <v>187</v>
      </c>
      <c r="Y22" s="2" t="s">
        <v>46</v>
      </c>
      <c r="Z22" s="2" t="s">
        <v>46</v>
      </c>
      <c r="AA22" s="2" t="s">
        <v>179</v>
      </c>
      <c r="AB22" s="2" t="s">
        <v>132</v>
      </c>
      <c r="AC22" s="2" t="s">
        <v>46</v>
      </c>
      <c r="AD22" s="2" t="s">
        <v>184</v>
      </c>
      <c r="AE22" s="2" t="s">
        <v>185</v>
      </c>
      <c r="AF22" s="2" t="s">
        <v>188</v>
      </c>
      <c r="AG22" s="2" t="s">
        <v>105</v>
      </c>
      <c r="AH22" s="3">
        <v>43480.6878009259</v>
      </c>
    </row>
    <row r="23" spans="1:34">
      <c r="A23" s="1">
        <v>6</v>
      </c>
      <c r="B23" s="2" t="s">
        <v>171</v>
      </c>
      <c r="C23" s="2" t="s">
        <v>172</v>
      </c>
      <c r="D23" s="2" t="s">
        <v>173</v>
      </c>
      <c r="E23" s="2" t="s">
        <v>174</v>
      </c>
      <c r="F23" s="2" t="s">
        <v>30</v>
      </c>
      <c r="G23" s="2" t="s">
        <v>175</v>
      </c>
      <c r="H23" s="2" t="s">
        <v>37</v>
      </c>
      <c r="I23" s="2" t="s">
        <v>40</v>
      </c>
      <c r="J23" s="2" t="s">
        <v>176</v>
      </c>
      <c r="K23" s="2" t="s">
        <v>46</v>
      </c>
      <c r="L23" s="2" t="s">
        <v>189</v>
      </c>
      <c r="M23" s="2" t="s">
        <v>70</v>
      </c>
      <c r="N23" s="2" t="s">
        <v>46</v>
      </c>
      <c r="O23" s="2" t="s">
        <v>46</v>
      </c>
      <c r="P23" s="2" t="s">
        <v>46</v>
      </c>
      <c r="Q23" s="2" t="s">
        <v>46</v>
      </c>
      <c r="R23" s="2" t="s">
        <v>70</v>
      </c>
      <c r="S23" s="2" t="s">
        <v>46</v>
      </c>
      <c r="T23" s="2" t="s">
        <v>46</v>
      </c>
      <c r="U23" s="2" t="s">
        <v>70</v>
      </c>
      <c r="V23" s="2" t="s">
        <v>46</v>
      </c>
      <c r="W23" s="2" t="s">
        <v>46</v>
      </c>
      <c r="X23" s="2" t="s">
        <v>187</v>
      </c>
      <c r="Y23" s="2" t="s">
        <v>46</v>
      </c>
      <c r="Z23" s="2" t="s">
        <v>46</v>
      </c>
      <c r="AA23" s="2" t="s">
        <v>179</v>
      </c>
      <c r="AB23" s="2" t="s">
        <v>132</v>
      </c>
      <c r="AC23" s="2" t="s">
        <v>46</v>
      </c>
      <c r="AD23" s="2" t="s">
        <v>190</v>
      </c>
      <c r="AE23" s="2" t="s">
        <v>112</v>
      </c>
      <c r="AF23" s="2" t="s">
        <v>191</v>
      </c>
      <c r="AG23" s="2" t="s">
        <v>105</v>
      </c>
      <c r="AH23" s="3">
        <v>43480.6878009259</v>
      </c>
    </row>
    <row r="24" spans="1:34">
      <c r="A24" s="1">
        <v>5</v>
      </c>
      <c r="B24" s="2" t="s">
        <v>192</v>
      </c>
      <c r="C24" s="2" t="s">
        <v>193</v>
      </c>
      <c r="D24" s="2" t="s">
        <v>194</v>
      </c>
      <c r="E24" s="2" t="s">
        <v>46</v>
      </c>
      <c r="F24" s="2" t="s">
        <v>30</v>
      </c>
      <c r="G24" s="2" t="s">
        <v>195</v>
      </c>
      <c r="H24" s="2" t="s">
        <v>37</v>
      </c>
      <c r="I24" s="2" t="s">
        <v>117</v>
      </c>
      <c r="J24" s="2" t="s">
        <v>196</v>
      </c>
      <c r="K24" s="2" t="s">
        <v>197</v>
      </c>
      <c r="L24" s="2" t="s">
        <v>198</v>
      </c>
      <c r="M24" s="2" t="s">
        <v>70</v>
      </c>
      <c r="N24" s="2" t="s">
        <v>46</v>
      </c>
      <c r="O24" s="2" t="s">
        <v>46</v>
      </c>
      <c r="P24" s="2" t="s">
        <v>46</v>
      </c>
      <c r="Q24" s="2" t="s">
        <v>46</v>
      </c>
      <c r="R24" s="2" t="s">
        <v>70</v>
      </c>
      <c r="S24" s="2" t="s">
        <v>46</v>
      </c>
      <c r="T24" s="2" t="s">
        <v>46</v>
      </c>
      <c r="U24" s="2" t="s">
        <v>70</v>
      </c>
      <c r="V24" s="2" t="s">
        <v>46</v>
      </c>
      <c r="W24" s="2" t="s">
        <v>46</v>
      </c>
      <c r="X24" s="2" t="s">
        <v>187</v>
      </c>
      <c r="Y24" s="2" t="s">
        <v>46</v>
      </c>
      <c r="Z24" s="2" t="s">
        <v>46</v>
      </c>
      <c r="AA24" s="2" t="s">
        <v>123</v>
      </c>
      <c r="AB24" s="2" t="s">
        <v>199</v>
      </c>
      <c r="AC24" s="2" t="s">
        <v>46</v>
      </c>
      <c r="AD24" s="2" t="s">
        <v>200</v>
      </c>
      <c r="AE24" s="2" t="s">
        <v>112</v>
      </c>
      <c r="AF24" s="2" t="s">
        <v>201</v>
      </c>
      <c r="AG24" s="2" t="s">
        <v>105</v>
      </c>
      <c r="AH24" s="3">
        <v>43480.6878009259</v>
      </c>
    </row>
    <row r="25" spans="1:34">
      <c r="A25" s="1">
        <v>4</v>
      </c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</row>
    <row r="26" spans="1:34">
      <c r="A26" s="1">
        <v>3</v>
      </c>
      <c r="B26" s="2" t="s">
        <v>202</v>
      </c>
      <c r="C26" s="2" t="s">
        <v>203</v>
      </c>
      <c r="D26" s="2" t="s">
        <v>204</v>
      </c>
      <c r="E26" s="2" t="s">
        <v>46</v>
      </c>
      <c r="F26" s="2" t="s">
        <v>30</v>
      </c>
      <c r="G26" s="2" t="s">
        <v>205</v>
      </c>
      <c r="H26" s="2" t="s">
        <v>70</v>
      </c>
      <c r="I26" s="2" t="s">
        <v>46</v>
      </c>
      <c r="J26" s="2" t="s">
        <v>46</v>
      </c>
      <c r="K26" s="2" t="s">
        <v>46</v>
      </c>
      <c r="L26" s="2" t="s">
        <v>46</v>
      </c>
      <c r="M26" s="2" t="s">
        <v>70</v>
      </c>
      <c r="N26" s="2" t="s">
        <v>46</v>
      </c>
      <c r="O26" s="2" t="s">
        <v>46</v>
      </c>
      <c r="P26" s="2" t="s">
        <v>46</v>
      </c>
      <c r="Q26" s="2" t="s">
        <v>46</v>
      </c>
      <c r="R26" s="2" t="s">
        <v>37</v>
      </c>
      <c r="S26" s="2" t="s">
        <v>147</v>
      </c>
      <c r="T26" s="2" t="s">
        <v>206</v>
      </c>
      <c r="U26" s="2" t="s">
        <v>70</v>
      </c>
      <c r="V26" s="2" t="s">
        <v>46</v>
      </c>
      <c r="W26" s="2" t="s">
        <v>46</v>
      </c>
      <c r="X26" s="2" t="s">
        <v>37</v>
      </c>
      <c r="Y26" s="2" t="s">
        <v>128</v>
      </c>
      <c r="Z26" s="2" t="s">
        <v>207</v>
      </c>
      <c r="AA26" s="2" t="s">
        <v>179</v>
      </c>
      <c r="AB26" s="2" t="s">
        <v>208</v>
      </c>
      <c r="AC26" s="2" t="s">
        <v>46</v>
      </c>
      <c r="AD26" s="2" t="s">
        <v>209</v>
      </c>
      <c r="AE26" s="2" t="s">
        <v>112</v>
      </c>
      <c r="AF26" s="2" t="s">
        <v>210</v>
      </c>
      <c r="AG26" s="2" t="s">
        <v>105</v>
      </c>
      <c r="AH26" s="3">
        <v>43480.6878009259</v>
      </c>
    </row>
    <row r="27" spans="1:34">
      <c r="A27" s="1">
        <v>2</v>
      </c>
      <c r="B27" s="2" t="s">
        <v>202</v>
      </c>
      <c r="C27" s="2" t="s">
        <v>203</v>
      </c>
      <c r="D27" s="2" t="s">
        <v>204</v>
      </c>
      <c r="E27" s="2" t="s">
        <v>46</v>
      </c>
      <c r="F27" s="2" t="s">
        <v>30</v>
      </c>
      <c r="G27" s="2" t="s">
        <v>211</v>
      </c>
      <c r="H27" s="2" t="s">
        <v>70</v>
      </c>
      <c r="I27" s="2" t="s">
        <v>46</v>
      </c>
      <c r="J27" s="2" t="s">
        <v>46</v>
      </c>
      <c r="K27" s="2" t="s">
        <v>46</v>
      </c>
      <c r="L27" s="2" t="s">
        <v>46</v>
      </c>
      <c r="M27" s="2" t="s">
        <v>70</v>
      </c>
      <c r="N27" s="2" t="s">
        <v>46</v>
      </c>
      <c r="O27" s="2" t="s">
        <v>46</v>
      </c>
      <c r="P27" s="2" t="s">
        <v>46</v>
      </c>
      <c r="Q27" s="2" t="s">
        <v>46</v>
      </c>
      <c r="R27" s="2" t="s">
        <v>37</v>
      </c>
      <c r="S27" s="2" t="s">
        <v>147</v>
      </c>
      <c r="T27" s="2" t="s">
        <v>206</v>
      </c>
      <c r="U27" s="2" t="s">
        <v>70</v>
      </c>
      <c r="V27" s="2" t="s">
        <v>46</v>
      </c>
      <c r="W27" s="2" t="s">
        <v>46</v>
      </c>
      <c r="X27" s="2" t="s">
        <v>70</v>
      </c>
      <c r="Y27" s="2" t="s">
        <v>46</v>
      </c>
      <c r="Z27" s="2" t="s">
        <v>46</v>
      </c>
      <c r="AA27" s="2" t="s">
        <v>123</v>
      </c>
      <c r="AB27" s="2" t="s">
        <v>132</v>
      </c>
      <c r="AC27" s="2" t="s">
        <v>46</v>
      </c>
      <c r="AD27" s="2" t="s">
        <v>212</v>
      </c>
      <c r="AE27" s="2" t="s">
        <v>213</v>
      </c>
      <c r="AF27" s="2" t="s">
        <v>214</v>
      </c>
      <c r="AG27" s="2" t="s">
        <v>105</v>
      </c>
      <c r="AH27" s="3">
        <v>43480.6878009259</v>
      </c>
    </row>
    <row r="28" spans="1:34">
      <c r="A28" s="1">
        <v>1</v>
      </c>
      <c r="B28" s="2" t="s">
        <v>202</v>
      </c>
      <c r="C28" s="2" t="s">
        <v>203</v>
      </c>
      <c r="D28" s="2" t="s">
        <v>204</v>
      </c>
      <c r="E28" s="2" t="s">
        <v>46</v>
      </c>
      <c r="F28" s="2" t="s">
        <v>30</v>
      </c>
      <c r="G28" s="2" t="s">
        <v>215</v>
      </c>
      <c r="H28" s="2" t="s">
        <v>70</v>
      </c>
      <c r="I28" s="2" t="s">
        <v>46</v>
      </c>
      <c r="J28" s="2" t="s">
        <v>46</v>
      </c>
      <c r="K28" s="2" t="s">
        <v>46</v>
      </c>
      <c r="L28" s="2" t="s">
        <v>46</v>
      </c>
      <c r="M28" s="2" t="s">
        <v>70</v>
      </c>
      <c r="N28" s="2" t="s">
        <v>46</v>
      </c>
      <c r="O28" s="2" t="s">
        <v>46</v>
      </c>
      <c r="P28" s="2" t="s">
        <v>46</v>
      </c>
      <c r="Q28" s="2" t="s">
        <v>46</v>
      </c>
      <c r="R28" s="2" t="s">
        <v>37</v>
      </c>
      <c r="S28" s="2" t="s">
        <v>147</v>
      </c>
      <c r="T28" s="2" t="s">
        <v>206</v>
      </c>
      <c r="U28" s="2" t="s">
        <v>70</v>
      </c>
      <c r="V28" s="2" t="s">
        <v>46</v>
      </c>
      <c r="W28" s="2" t="s">
        <v>46</v>
      </c>
      <c r="X28" s="2" t="s">
        <v>70</v>
      </c>
      <c r="Y28" s="2" t="s">
        <v>46</v>
      </c>
      <c r="Z28" s="2" t="s">
        <v>46</v>
      </c>
      <c r="AA28" s="2" t="s">
        <v>123</v>
      </c>
      <c r="AB28" s="2" t="s">
        <v>132</v>
      </c>
      <c r="AC28" s="2" t="s">
        <v>46</v>
      </c>
      <c r="AD28" s="2" t="s">
        <v>212</v>
      </c>
      <c r="AE28" s="2" t="s">
        <v>112</v>
      </c>
      <c r="AF28" s="2" t="s">
        <v>214</v>
      </c>
      <c r="AG28" s="2" t="s">
        <v>105</v>
      </c>
      <c r="AH28" s="3">
        <v>43480.6876967593</v>
      </c>
    </row>
    <row r="29" spans="1:34">
      <c r="A29" s="1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3"/>
    </row>
    <row r="30" spans="1:34">
      <c r="A30" s="1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3"/>
    </row>
    <row r="31" spans="1:34">
      <c r="A31" s="1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3"/>
    </row>
    <row r="32" spans="1:34">
      <c r="A32" s="1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3"/>
    </row>
    <row r="33" spans="1:34">
      <c r="A33" s="1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3"/>
    </row>
    <row r="34" spans="1:34">
      <c r="A34" s="1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3"/>
    </row>
    <row r="35" spans="1:34">
      <c r="A35" s="1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3"/>
    </row>
    <row r="36" spans="1:26">
      <c r="A36" s="1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3"/>
    </row>
    <row r="37" spans="1:26">
      <c r="A37" s="1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3"/>
    </row>
    <row r="38" spans="1:16">
      <c r="A38" s="24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spans="1:16">
      <c r="A39" s="24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</row>
    <row r="40" spans="1:16">
      <c r="A40" s="24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3"/>
    </row>
    <row r="41" spans="1:16">
      <c r="A41" s="24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3"/>
    </row>
    <row r="42" spans="1:16">
      <c r="A42" s="24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3"/>
    </row>
    <row r="43" spans="1:16">
      <c r="A43" s="24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3"/>
    </row>
    <row r="44" spans="1:16">
      <c r="A44" s="24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3"/>
    </row>
    <row r="45" spans="1:16">
      <c r="A45" s="24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3"/>
    </row>
    <row r="46" spans="1:16">
      <c r="A46" s="24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</row>
    <row r="47" spans="1:16">
      <c r="A47" s="24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</row>
    <row r="48" spans="1:16">
      <c r="A48" s="24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3"/>
    </row>
    <row r="49" spans="1:16">
      <c r="A49" s="24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</row>
    <row r="50" spans="1:16">
      <c r="A50" s="24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3"/>
    </row>
    <row r="51" spans="1:16">
      <c r="A51" s="24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</row>
    <row r="52" spans="1:16">
      <c r="A52" s="27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3"/>
    </row>
    <row r="53" spans="1:16">
      <c r="A53" s="27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3"/>
    </row>
    <row r="54" spans="1:16">
      <c r="A54" s="27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3"/>
    </row>
    <row r="55" spans="1:16">
      <c r="A55" s="27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3"/>
    </row>
    <row r="56" spans="1:16">
      <c r="A56" s="27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3"/>
    </row>
    <row r="57" spans="1:16">
      <c r="A57" s="27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3"/>
    </row>
    <row r="58" spans="1:16">
      <c r="A58" s="28"/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</row>
    <row r="59" spans="1:16">
      <c r="A59" s="24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</row>
    <row r="60" spans="1:16">
      <c r="A60" s="28"/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</row>
    <row r="61" spans="1:16">
      <c r="A61" s="24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</row>
    <row r="62" spans="1:16">
      <c r="A62" s="24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</row>
    <row r="63" spans="1:16">
      <c r="A63" s="24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</row>
    <row r="64" spans="1:16">
      <c r="A64" s="29"/>
      <c r="B64" s="30"/>
      <c r="C64" s="30"/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</row>
    <row r="65" spans="1:16">
      <c r="A65" s="24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</row>
    <row r="66" spans="1:16">
      <c r="A66" s="24"/>
      <c r="B66" s="32"/>
      <c r="C66" s="32"/>
      <c r="D66" s="32"/>
      <c r="E66" s="32"/>
      <c r="F66" s="32"/>
      <c r="G66" s="32"/>
      <c r="H66" s="32"/>
      <c r="I66" s="32"/>
      <c r="J66" s="32"/>
      <c r="K66" s="32"/>
      <c r="L66" s="32"/>
      <c r="M66" s="32"/>
      <c r="N66" s="32"/>
      <c r="O66" s="32"/>
      <c r="P66" s="32"/>
    </row>
    <row r="67" spans="1:16">
      <c r="A67" s="24"/>
      <c r="B67" s="25"/>
      <c r="C67" s="26"/>
      <c r="D67" s="25"/>
      <c r="E67" s="25"/>
      <c r="F67" s="26"/>
      <c r="G67" s="26"/>
      <c r="H67" s="26"/>
      <c r="I67" s="26"/>
      <c r="J67" s="26"/>
      <c r="K67" s="26"/>
      <c r="L67" s="26"/>
      <c r="M67" s="26"/>
      <c r="N67" s="30"/>
      <c r="O67" s="26"/>
      <c r="P67" s="32"/>
    </row>
    <row r="68" spans="1:16">
      <c r="A68" s="28"/>
      <c r="B68" s="25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</row>
    <row r="69" spans="1:16">
      <c r="A69" s="24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</row>
    <row r="70" spans="1:16">
      <c r="A70" s="28"/>
      <c r="B70" s="25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</row>
    <row r="71" spans="1:16">
      <c r="A71" s="28"/>
      <c r="B71" s="25"/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  <c r="P71" s="25"/>
    </row>
    <row r="72" spans="1:16">
      <c r="A72" s="24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</row>
    <row r="73" spans="1:16">
      <c r="A73" s="24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</row>
    <row r="74" spans="1:16">
      <c r="A74" s="24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</row>
    <row r="75" spans="1:16">
      <c r="A75" s="24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</row>
    <row r="76" spans="1:16">
      <c r="A76" s="24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</row>
    <row r="77" spans="1:16">
      <c r="A77" s="24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</row>
    <row r="78" spans="1:16">
      <c r="A78" s="24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</row>
    <row r="79" spans="1:16">
      <c r="A79" s="24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</row>
    <row r="80" spans="1:16">
      <c r="A80" s="29"/>
      <c r="B80" s="30"/>
      <c r="C80" s="30"/>
      <c r="D80" s="30"/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30"/>
      <c r="P80" s="30"/>
    </row>
    <row r="81" spans="1:16">
      <c r="A81" s="24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</row>
    <row r="82" spans="1:16">
      <c r="A82" s="24"/>
      <c r="B82" s="32"/>
      <c r="C82" s="32"/>
      <c r="D82" s="32"/>
      <c r="E82" s="32"/>
      <c r="F82" s="32"/>
      <c r="G82" s="32"/>
      <c r="H82" s="32"/>
      <c r="I82" s="32"/>
      <c r="J82" s="32"/>
      <c r="K82" s="32"/>
      <c r="L82" s="32"/>
      <c r="M82" s="32"/>
      <c r="N82" s="32"/>
      <c r="O82" s="32"/>
      <c r="P82" s="32"/>
    </row>
    <row r="83" spans="1:16">
      <c r="A83" s="24"/>
      <c r="B83" s="26"/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32"/>
    </row>
    <row r="84" spans="1:16">
      <c r="A84" s="28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25"/>
      <c r="O84" s="25"/>
      <c r="P84" s="25"/>
    </row>
    <row r="85" spans="1:16">
      <c r="A85" s="24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</row>
    <row r="86" spans="1:16">
      <c r="A86" s="28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</row>
    <row r="87" spans="1:16">
      <c r="A87" s="28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  <c r="P87" s="25"/>
    </row>
    <row r="88" spans="1:16">
      <c r="A88" s="24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</row>
    <row r="89" spans="1:16">
      <c r="A89" s="24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</row>
    <row r="90" spans="1:16">
      <c r="A90" s="24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</row>
    <row r="91" spans="1:16">
      <c r="A91" s="24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</row>
    <row r="92" spans="1:16">
      <c r="A92" s="24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</row>
    <row r="93" spans="1:16">
      <c r="A93" s="24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</row>
    <row r="94" spans="1:16">
      <c r="A94" s="24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</row>
    <row r="95" spans="1:16">
      <c r="A95" s="24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</row>
    <row r="96" spans="1:16">
      <c r="A96" s="29"/>
      <c r="B96" s="30"/>
      <c r="C96" s="30"/>
      <c r="D96" s="30"/>
      <c r="E96" s="30"/>
      <c r="F96" s="30"/>
      <c r="G96" s="30"/>
      <c r="H96" s="30"/>
      <c r="I96" s="30"/>
      <c r="J96" s="30"/>
      <c r="K96" s="30"/>
      <c r="L96" s="30"/>
      <c r="M96" s="30"/>
      <c r="N96" s="30"/>
      <c r="O96" s="30"/>
      <c r="P96" s="30"/>
    </row>
    <row r="97" spans="1:16">
      <c r="A97" s="24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</row>
    <row r="98" spans="1:16">
      <c r="A98" s="24"/>
      <c r="B98" s="32"/>
      <c r="C98" s="32"/>
      <c r="D98" s="32"/>
      <c r="E98" s="32"/>
      <c r="F98" s="32"/>
      <c r="G98" s="32"/>
      <c r="H98" s="32"/>
      <c r="I98" s="32"/>
      <c r="J98" s="32"/>
      <c r="K98" s="32"/>
      <c r="L98" s="32"/>
      <c r="M98" s="32"/>
      <c r="N98" s="32"/>
      <c r="O98" s="32"/>
      <c r="P98" s="32"/>
    </row>
    <row r="99" spans="1:16">
      <c r="A99" s="33"/>
      <c r="B99" s="21"/>
      <c r="C99" s="20"/>
      <c r="D99" s="20"/>
      <c r="E99" s="22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</row>
    <row r="100" spans="1:16">
      <c r="A100" s="24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32"/>
    </row>
    <row r="101" spans="1:16">
      <c r="A101" s="28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25"/>
      <c r="O101" s="25"/>
      <c r="P101" s="25"/>
    </row>
    <row r="102" spans="1:16">
      <c r="A102" s="24"/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</row>
    <row r="103" spans="1:16">
      <c r="A103" s="28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25"/>
      <c r="O103" s="25"/>
      <c r="P103" s="25"/>
    </row>
    <row r="104" spans="1:16">
      <c r="A104" s="28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25"/>
      <c r="O104" s="25"/>
      <c r="P104" s="25"/>
    </row>
    <row r="105" spans="1:16">
      <c r="A105" s="24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</row>
    <row r="106" spans="1:16">
      <c r="A106" s="24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</row>
    <row r="107" spans="1:16">
      <c r="A107" s="24"/>
      <c r="B107" s="26"/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</row>
    <row r="108" spans="1:16">
      <c r="A108" s="24"/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</row>
    <row r="109" spans="1:16">
      <c r="A109" s="24"/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</row>
    <row r="110" spans="1:16">
      <c r="A110" s="24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</row>
    <row r="111" spans="1:16">
      <c r="A111" s="24"/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</row>
    <row r="112" spans="1:16">
      <c r="A112" s="24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</row>
    <row r="113" spans="1:16">
      <c r="A113" s="29"/>
      <c r="B113" s="30"/>
      <c r="C113" s="30"/>
      <c r="D113" s="30"/>
      <c r="E113" s="30"/>
      <c r="F113" s="30"/>
      <c r="G113" s="30"/>
      <c r="H113" s="30"/>
      <c r="I113" s="30"/>
      <c r="J113" s="30"/>
      <c r="K113" s="30"/>
      <c r="L113" s="30"/>
      <c r="M113" s="30"/>
      <c r="N113" s="30"/>
      <c r="O113" s="30"/>
      <c r="P113" s="30"/>
    </row>
    <row r="114" spans="1:16">
      <c r="A114" s="24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</row>
    <row r="115" spans="1:16">
      <c r="A115" s="24"/>
      <c r="B115" s="32"/>
      <c r="C115" s="32"/>
      <c r="D115" s="32"/>
      <c r="E115" s="32"/>
      <c r="F115" s="32"/>
      <c r="G115" s="32"/>
      <c r="H115" s="32"/>
      <c r="I115" s="32"/>
      <c r="J115" s="32"/>
      <c r="K115" s="32"/>
      <c r="L115" s="32"/>
      <c r="M115" s="32"/>
      <c r="N115" s="32"/>
      <c r="O115" s="32"/>
      <c r="P115" s="32"/>
    </row>
    <row r="116" spans="1:16">
      <c r="A116" s="33"/>
      <c r="B116" s="34"/>
      <c r="C116" s="34"/>
      <c r="D116" s="25"/>
      <c r="E116" s="25"/>
      <c r="F116" s="26"/>
      <c r="G116" s="26"/>
      <c r="H116" s="26"/>
      <c r="I116" s="26"/>
      <c r="J116" s="26"/>
      <c r="K116" s="26"/>
      <c r="L116" s="26"/>
      <c r="M116" s="26"/>
      <c r="N116" s="30"/>
      <c r="O116" s="26"/>
      <c r="P116" s="32"/>
    </row>
    <row r="117" spans="1:3">
      <c r="A117" s="24"/>
      <c r="B117" s="25"/>
      <c r="C117" s="26"/>
    </row>
  </sheetData>
  <sheetProtection password="EF45" sheet="1" objects="1"/>
  <sortState ref="A2:AH92">
    <sortCondition ref="A1" descending="1"/>
  </sortState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F110"/>
  <sheetViews>
    <sheetView topLeftCell="A11" workbookViewId="0">
      <selection activeCell="A108" sqref="A108:A110"/>
    </sheetView>
  </sheetViews>
  <sheetFormatPr defaultColWidth="10.8" defaultRowHeight="15.75" outlineLevelCol="5"/>
  <cols>
    <col min="1" max="1" width="63.8" style="4" customWidth="1"/>
    <col min="2" max="2" width="17.2" style="4" customWidth="1"/>
    <col min="3" max="3" width="16.7" style="4" customWidth="1"/>
    <col min="4" max="4" width="22.7" style="4" customWidth="1"/>
    <col min="5" max="16384" width="10.8" style="4"/>
  </cols>
  <sheetData>
    <row r="1" ht="16.5" spans="1:6">
      <c r="A1" s="5" t="s">
        <v>22</v>
      </c>
      <c r="B1" s="5"/>
      <c r="C1" s="5"/>
      <c r="D1" s="5"/>
      <c r="E1" s="5"/>
      <c r="F1" s="5"/>
    </row>
    <row r="2" spans="1:6">
      <c r="A2" s="6" t="s">
        <v>216</v>
      </c>
      <c r="B2" s="7" t="s">
        <v>217</v>
      </c>
      <c r="C2" s="7" t="s">
        <v>46</v>
      </c>
      <c r="D2" s="7"/>
      <c r="E2" s="7"/>
      <c r="F2" s="8"/>
    </row>
    <row r="3" spans="1:6">
      <c r="A3" s="9" t="s">
        <v>218</v>
      </c>
      <c r="B3" s="5" t="s">
        <v>219</v>
      </c>
      <c r="C3" s="5" t="s">
        <v>217</v>
      </c>
      <c r="D3" s="5" t="s">
        <v>46</v>
      </c>
      <c r="E3" s="5"/>
      <c r="F3" s="10"/>
    </row>
    <row r="4" spans="1:6">
      <c r="A4" s="9" t="s">
        <v>220</v>
      </c>
      <c r="B4" s="5" t="s">
        <v>221</v>
      </c>
      <c r="C4" s="5" t="s">
        <v>217</v>
      </c>
      <c r="D4" s="5" t="s">
        <v>46</v>
      </c>
      <c r="E4" s="5"/>
      <c r="F4" s="10"/>
    </row>
    <row r="5" spans="1:6">
      <c r="A5" s="9" t="s">
        <v>222</v>
      </c>
      <c r="B5" s="5" t="s">
        <v>217</v>
      </c>
      <c r="C5" s="5" t="s">
        <v>46</v>
      </c>
      <c r="D5" s="5"/>
      <c r="E5" s="5"/>
      <c r="F5" s="10"/>
    </row>
    <row r="6" spans="1:6">
      <c r="A6" s="9" t="s">
        <v>223</v>
      </c>
      <c r="B6" s="5" t="s">
        <v>217</v>
      </c>
      <c r="C6" s="5" t="s">
        <v>46</v>
      </c>
      <c r="D6" s="5"/>
      <c r="E6" s="5"/>
      <c r="F6" s="10"/>
    </row>
    <row r="7" spans="1:6">
      <c r="A7" s="9" t="s">
        <v>224</v>
      </c>
      <c r="B7" s="5" t="s">
        <v>225</v>
      </c>
      <c r="C7" s="5" t="s">
        <v>226</v>
      </c>
      <c r="D7" s="5" t="s">
        <v>217</v>
      </c>
      <c r="E7" s="5" t="s">
        <v>46</v>
      </c>
      <c r="F7" s="10"/>
    </row>
    <row r="8" spans="1:6">
      <c r="A8" s="9" t="s">
        <v>227</v>
      </c>
      <c r="B8" s="5" t="s">
        <v>217</v>
      </c>
      <c r="C8" s="5" t="s">
        <v>46</v>
      </c>
      <c r="D8" s="5"/>
      <c r="E8" s="5"/>
      <c r="F8" s="10"/>
    </row>
    <row r="9" spans="1:6">
      <c r="A9" s="9" t="s">
        <v>228</v>
      </c>
      <c r="B9" s="5" t="s">
        <v>229</v>
      </c>
      <c r="C9" s="5" t="s">
        <v>217</v>
      </c>
      <c r="D9" s="5" t="s">
        <v>46</v>
      </c>
      <c r="E9" s="5"/>
      <c r="F9" s="10"/>
    </row>
    <row r="10" spans="1:6">
      <c r="A10" s="9" t="s">
        <v>230</v>
      </c>
      <c r="B10" s="5" t="s">
        <v>231</v>
      </c>
      <c r="C10" s="5" t="s">
        <v>232</v>
      </c>
      <c r="D10" s="5" t="s">
        <v>217</v>
      </c>
      <c r="E10" s="5" t="s">
        <v>46</v>
      </c>
      <c r="F10" s="10"/>
    </row>
    <row r="11" spans="1:6">
      <c r="A11" s="9" t="s">
        <v>233</v>
      </c>
      <c r="B11" s="5" t="s">
        <v>217</v>
      </c>
      <c r="C11" s="5" t="s">
        <v>46</v>
      </c>
      <c r="D11" s="5"/>
      <c r="E11" s="5"/>
      <c r="F11" s="10"/>
    </row>
    <row r="12" spans="1:6">
      <c r="A12" s="9" t="s">
        <v>234</v>
      </c>
      <c r="B12" s="5" t="s">
        <v>217</v>
      </c>
      <c r="C12" s="5" t="s">
        <v>46</v>
      </c>
      <c r="D12" s="5"/>
      <c r="E12" s="5"/>
      <c r="F12" s="10"/>
    </row>
    <row r="13" spans="1:6">
      <c r="A13" s="9" t="s">
        <v>235</v>
      </c>
      <c r="B13" s="5" t="s">
        <v>236</v>
      </c>
      <c r="C13" s="5" t="s">
        <v>237</v>
      </c>
      <c r="D13" s="5" t="s">
        <v>238</v>
      </c>
      <c r="E13" s="5" t="s">
        <v>217</v>
      </c>
      <c r="F13" s="10" t="s">
        <v>46</v>
      </c>
    </row>
    <row r="14" spans="1:6">
      <c r="A14" s="9" t="s">
        <v>239</v>
      </c>
      <c r="B14" s="5" t="s">
        <v>240</v>
      </c>
      <c r="C14" s="5" t="s">
        <v>241</v>
      </c>
      <c r="D14" s="5" t="s">
        <v>217</v>
      </c>
      <c r="E14" s="5" t="s">
        <v>46</v>
      </c>
      <c r="F14" s="10"/>
    </row>
    <row r="15" spans="1:6">
      <c r="A15" s="9" t="s">
        <v>242</v>
      </c>
      <c r="B15" s="5" t="s">
        <v>217</v>
      </c>
      <c r="C15" s="5" t="s">
        <v>46</v>
      </c>
      <c r="D15" s="5"/>
      <c r="E15" s="5"/>
      <c r="F15" s="10"/>
    </row>
    <row r="16" spans="1:6">
      <c r="A16" s="9" t="s">
        <v>243</v>
      </c>
      <c r="B16" s="11" t="s">
        <v>244</v>
      </c>
      <c r="C16" s="5" t="s">
        <v>217</v>
      </c>
      <c r="D16" s="5" t="s">
        <v>46</v>
      </c>
      <c r="E16" s="5"/>
      <c r="F16" s="10"/>
    </row>
    <row r="17" spans="1:6">
      <c r="A17" s="9" t="s">
        <v>245</v>
      </c>
      <c r="B17" s="5" t="s">
        <v>217</v>
      </c>
      <c r="C17" s="5" t="s">
        <v>46</v>
      </c>
      <c r="D17" s="5"/>
      <c r="E17" s="5"/>
      <c r="F17" s="10"/>
    </row>
    <row r="18" spans="1:6">
      <c r="A18" s="9" t="s">
        <v>246</v>
      </c>
      <c r="B18" s="5" t="s">
        <v>217</v>
      </c>
      <c r="C18" s="5" t="s">
        <v>46</v>
      </c>
      <c r="D18" s="5"/>
      <c r="E18" s="5"/>
      <c r="F18" s="10"/>
    </row>
    <row r="19" spans="1:6">
      <c r="A19" s="9" t="s">
        <v>247</v>
      </c>
      <c r="B19" s="5" t="s">
        <v>248</v>
      </c>
      <c r="C19" s="5" t="s">
        <v>217</v>
      </c>
      <c r="D19" s="5" t="s">
        <v>46</v>
      </c>
      <c r="E19" s="5"/>
      <c r="F19" s="10"/>
    </row>
    <row r="20" spans="1:6">
      <c r="A20" s="9" t="s">
        <v>249</v>
      </c>
      <c r="B20" s="5" t="s">
        <v>250</v>
      </c>
      <c r="C20" s="5" t="s">
        <v>251</v>
      </c>
      <c r="D20" s="5" t="s">
        <v>217</v>
      </c>
      <c r="E20" s="5" t="s">
        <v>46</v>
      </c>
      <c r="F20" s="10"/>
    </row>
    <row r="21" spans="1:6">
      <c r="A21" s="9" t="s">
        <v>136</v>
      </c>
      <c r="B21" s="5" t="s">
        <v>217</v>
      </c>
      <c r="C21" s="5"/>
      <c r="D21" s="5"/>
      <c r="E21" s="5"/>
      <c r="F21" s="10"/>
    </row>
    <row r="22" spans="1:6">
      <c r="A22" s="9" t="s">
        <v>252</v>
      </c>
      <c r="B22" s="5" t="s">
        <v>253</v>
      </c>
      <c r="C22" s="5" t="s">
        <v>217</v>
      </c>
      <c r="D22" s="5" t="s">
        <v>46</v>
      </c>
      <c r="E22" s="5"/>
      <c r="F22" s="10"/>
    </row>
    <row r="23" spans="1:6">
      <c r="A23" s="9" t="s">
        <v>254</v>
      </c>
      <c r="B23" s="5" t="s">
        <v>255</v>
      </c>
      <c r="C23" s="5" t="s">
        <v>217</v>
      </c>
      <c r="D23" s="5" t="s">
        <v>46</v>
      </c>
      <c r="E23" s="5"/>
      <c r="F23" s="10"/>
    </row>
    <row r="24" spans="1:6">
      <c r="A24" s="9" t="s">
        <v>256</v>
      </c>
      <c r="B24" s="5" t="s">
        <v>217</v>
      </c>
      <c r="C24" s="5" t="s">
        <v>46</v>
      </c>
      <c r="D24" s="5"/>
      <c r="E24" s="5"/>
      <c r="F24" s="10"/>
    </row>
    <row r="25" spans="1:6">
      <c r="A25" s="9" t="s">
        <v>257</v>
      </c>
      <c r="B25" s="5" t="s">
        <v>217</v>
      </c>
      <c r="C25" s="5" t="s">
        <v>46</v>
      </c>
      <c r="D25" s="5"/>
      <c r="E25" s="5"/>
      <c r="F25" s="10"/>
    </row>
    <row r="26" spans="1:6">
      <c r="A26" s="9" t="s">
        <v>258</v>
      </c>
      <c r="B26" s="5" t="s">
        <v>259</v>
      </c>
      <c r="C26" s="5" t="s">
        <v>217</v>
      </c>
      <c r="D26" s="5" t="s">
        <v>46</v>
      </c>
      <c r="E26" s="5"/>
      <c r="F26" s="10"/>
    </row>
    <row r="27" spans="1:6">
      <c r="A27" s="9" t="s">
        <v>260</v>
      </c>
      <c r="B27" s="5" t="s">
        <v>217</v>
      </c>
      <c r="C27" s="5" t="s">
        <v>46</v>
      </c>
      <c r="D27" s="5"/>
      <c r="E27" s="5"/>
      <c r="F27" s="10"/>
    </row>
    <row r="28" spans="1:6">
      <c r="A28" s="9" t="s">
        <v>261</v>
      </c>
      <c r="B28" s="5" t="s">
        <v>262</v>
      </c>
      <c r="C28" s="5" t="s">
        <v>263</v>
      </c>
      <c r="D28" s="5" t="s">
        <v>217</v>
      </c>
      <c r="E28" s="5" t="s">
        <v>46</v>
      </c>
      <c r="F28" s="10"/>
    </row>
    <row r="29" spans="1:6">
      <c r="A29" s="9" t="s">
        <v>264</v>
      </c>
      <c r="B29" s="5" t="s">
        <v>217</v>
      </c>
      <c r="C29" s="5" t="s">
        <v>46</v>
      </c>
      <c r="D29" s="5"/>
      <c r="E29" s="5"/>
      <c r="F29" s="10"/>
    </row>
    <row r="30" spans="1:6">
      <c r="A30" s="9" t="s">
        <v>265</v>
      </c>
      <c r="B30" s="5" t="s">
        <v>266</v>
      </c>
      <c r="C30" s="5" t="s">
        <v>217</v>
      </c>
      <c r="D30" s="5" t="s">
        <v>46</v>
      </c>
      <c r="E30" s="5"/>
      <c r="F30" s="10"/>
    </row>
    <row r="31" spans="1:6">
      <c r="A31" s="9" t="s">
        <v>267</v>
      </c>
      <c r="B31" s="5" t="s">
        <v>217</v>
      </c>
      <c r="C31" s="5" t="s">
        <v>46</v>
      </c>
      <c r="D31" s="5"/>
      <c r="E31" s="5"/>
      <c r="F31" s="10"/>
    </row>
    <row r="32" spans="1:6">
      <c r="A32" s="9" t="s">
        <v>268</v>
      </c>
      <c r="B32" s="5" t="s">
        <v>217</v>
      </c>
      <c r="C32" s="5" t="s">
        <v>46</v>
      </c>
      <c r="D32" s="5"/>
      <c r="E32" s="5"/>
      <c r="F32" s="10"/>
    </row>
    <row r="33" spans="1:6">
      <c r="A33" s="9" t="s">
        <v>269</v>
      </c>
      <c r="B33" s="5" t="s">
        <v>217</v>
      </c>
      <c r="C33" s="5" t="s">
        <v>46</v>
      </c>
      <c r="D33" s="5"/>
      <c r="E33" s="5"/>
      <c r="F33" s="10"/>
    </row>
    <row r="34" spans="1:6">
      <c r="A34" s="9" t="s">
        <v>270</v>
      </c>
      <c r="B34" s="5" t="s">
        <v>217</v>
      </c>
      <c r="C34" s="5" t="s">
        <v>46</v>
      </c>
      <c r="D34" s="5"/>
      <c r="E34" s="5"/>
      <c r="F34" s="10"/>
    </row>
    <row r="35" spans="1:6">
      <c r="A35" s="9" t="s">
        <v>271</v>
      </c>
      <c r="B35" s="5" t="s">
        <v>217</v>
      </c>
      <c r="C35" s="5" t="s">
        <v>46</v>
      </c>
      <c r="D35" s="5"/>
      <c r="E35" s="5"/>
      <c r="F35" s="10"/>
    </row>
    <row r="36" ht="16.5" spans="1:6">
      <c r="A36" s="12" t="s">
        <v>272</v>
      </c>
      <c r="B36" s="13" t="s">
        <v>217</v>
      </c>
      <c r="C36" s="13" t="s">
        <v>46</v>
      </c>
      <c r="D36" s="13"/>
      <c r="E36" s="13"/>
      <c r="F36" s="14"/>
    </row>
    <row r="38" ht="16.5" spans="1:1">
      <c r="A38" s="4" t="s">
        <v>28</v>
      </c>
    </row>
    <row r="39" spans="1:1">
      <c r="A39" s="15" t="s">
        <v>30</v>
      </c>
    </row>
    <row r="40" spans="1:1">
      <c r="A40" s="16" t="s">
        <v>273</v>
      </c>
    </row>
    <row r="41" spans="1:1">
      <c r="A41" s="16" t="s">
        <v>274</v>
      </c>
    </row>
    <row r="42" ht="16.5" spans="1:1">
      <c r="A42" s="17" t="s">
        <v>121</v>
      </c>
    </row>
    <row r="44" ht="16.5" spans="1:1">
      <c r="A44" s="4" t="s">
        <v>275</v>
      </c>
    </row>
    <row r="45" ht="16.5" spans="1:1">
      <c r="A45" s="18" t="s">
        <v>37</v>
      </c>
    </row>
    <row r="46" spans="1:1">
      <c r="A46" s="5"/>
    </row>
    <row r="47" ht="16.5" spans="1:1">
      <c r="A47" s="4" t="s">
        <v>85</v>
      </c>
    </row>
    <row r="48" spans="1:1">
      <c r="A48" s="15" t="s">
        <v>276</v>
      </c>
    </row>
    <row r="49" spans="1:1">
      <c r="A49" s="16" t="s">
        <v>277</v>
      </c>
    </row>
    <row r="50" spans="1:1">
      <c r="A50" s="16" t="s">
        <v>123</v>
      </c>
    </row>
    <row r="51" spans="1:1">
      <c r="A51" s="16" t="s">
        <v>179</v>
      </c>
    </row>
    <row r="52" spans="1:1">
      <c r="A52" s="16" t="s">
        <v>278</v>
      </c>
    </row>
    <row r="53" spans="1:1">
      <c r="A53" s="16" t="s">
        <v>279</v>
      </c>
    </row>
    <row r="54" spans="1:1">
      <c r="A54" s="16" t="s">
        <v>280</v>
      </c>
    </row>
    <row r="55" spans="1:1">
      <c r="A55" s="16" t="s">
        <v>281</v>
      </c>
    </row>
    <row r="56" spans="1:1">
      <c r="A56" s="16" t="s">
        <v>282</v>
      </c>
    </row>
    <row r="57" spans="1:1">
      <c r="A57" s="16" t="s">
        <v>283</v>
      </c>
    </row>
    <row r="58" ht="16.5" spans="1:1">
      <c r="A58" s="17" t="s">
        <v>46</v>
      </c>
    </row>
    <row r="59" spans="1:1">
      <c r="A59" s="5"/>
    </row>
    <row r="60" ht="16.5" spans="1:1">
      <c r="A60" s="5" t="s">
        <v>90</v>
      </c>
    </row>
    <row r="61" spans="1:1">
      <c r="A61" s="15" t="s">
        <v>125</v>
      </c>
    </row>
    <row r="62" spans="1:1">
      <c r="A62" s="16" t="s">
        <v>284</v>
      </c>
    </row>
    <row r="63" spans="1:1">
      <c r="A63" s="16" t="s">
        <v>285</v>
      </c>
    </row>
    <row r="64" spans="1:1">
      <c r="A64" s="16" t="s">
        <v>286</v>
      </c>
    </row>
    <row r="65" spans="1:1">
      <c r="A65" s="16" t="s">
        <v>287</v>
      </c>
    </row>
    <row r="66" spans="1:1">
      <c r="A66" s="16" t="s">
        <v>288</v>
      </c>
    </row>
    <row r="67" spans="1:1">
      <c r="A67" s="16" t="s">
        <v>283</v>
      </c>
    </row>
    <row r="68" ht="16.5" spans="1:1">
      <c r="A68" s="17" t="s">
        <v>46</v>
      </c>
    </row>
    <row r="69" spans="1:1">
      <c r="A69" s="5"/>
    </row>
    <row r="70" ht="16.5" spans="1:1">
      <c r="A70" s="5" t="s">
        <v>289</v>
      </c>
    </row>
    <row r="71" spans="1:1">
      <c r="A71" s="15" t="s">
        <v>37</v>
      </c>
    </row>
    <row r="72" ht="16.5" spans="1:1">
      <c r="A72" s="17" t="s">
        <v>70</v>
      </c>
    </row>
    <row r="73" spans="1:1">
      <c r="A73" s="5"/>
    </row>
    <row r="74" ht="16.5" spans="1:1">
      <c r="A74" s="4" t="s">
        <v>290</v>
      </c>
    </row>
    <row r="75" spans="1:1">
      <c r="A75" s="15" t="s">
        <v>117</v>
      </c>
    </row>
    <row r="76" spans="1:1">
      <c r="A76" s="16" t="s">
        <v>291</v>
      </c>
    </row>
    <row r="77" spans="1:1">
      <c r="A77" s="16" t="s">
        <v>40</v>
      </c>
    </row>
    <row r="78" spans="1:1">
      <c r="A78" s="16" t="s">
        <v>292</v>
      </c>
    </row>
    <row r="79" spans="1:1">
      <c r="A79" s="16" t="s">
        <v>293</v>
      </c>
    </row>
    <row r="80" spans="1:1">
      <c r="A80" s="16" t="s">
        <v>138</v>
      </c>
    </row>
    <row r="81" spans="1:1">
      <c r="A81" s="16" t="s">
        <v>121</v>
      </c>
    </row>
    <row r="82" ht="16.5" spans="1:1">
      <c r="A82" s="17" t="s">
        <v>46</v>
      </c>
    </row>
    <row r="83" spans="1:1">
      <c r="A83" s="5"/>
    </row>
    <row r="84" ht="16.5" spans="1:1">
      <c r="A84" s="4" t="s">
        <v>294</v>
      </c>
    </row>
    <row r="85" spans="1:1">
      <c r="A85" s="15" t="s">
        <v>217</v>
      </c>
    </row>
    <row r="86" ht="16.5" spans="1:1">
      <c r="A86" s="17" t="s">
        <v>46</v>
      </c>
    </row>
    <row r="88" ht="16.5" spans="1:1">
      <c r="A88" s="4" t="s">
        <v>295</v>
      </c>
    </row>
    <row r="89" spans="1:1">
      <c r="A89" s="15" t="s">
        <v>296</v>
      </c>
    </row>
    <row r="90" spans="1:1">
      <c r="A90" s="16" t="s">
        <v>297</v>
      </c>
    </row>
    <row r="91" spans="1:1">
      <c r="A91" s="16" t="s">
        <v>298</v>
      </c>
    </row>
    <row r="92" ht="16.5" spans="1:1">
      <c r="A92" s="17" t="s">
        <v>283</v>
      </c>
    </row>
    <row r="94" ht="16.5" spans="1:1">
      <c r="A94" s="4" t="s">
        <v>299</v>
      </c>
    </row>
    <row r="95" spans="1:1">
      <c r="A95" s="15" t="s">
        <v>300</v>
      </c>
    </row>
    <row r="96" spans="1:1">
      <c r="A96" s="16" t="s">
        <v>147</v>
      </c>
    </row>
    <row r="97" spans="1:1">
      <c r="A97" s="16" t="s">
        <v>301</v>
      </c>
    </row>
    <row r="98" spans="1:1">
      <c r="A98" s="16" t="s">
        <v>121</v>
      </c>
    </row>
    <row r="99" ht="16.5" spans="1:1">
      <c r="A99" s="17" t="s">
        <v>46</v>
      </c>
    </row>
    <row r="101" ht="16.5" spans="1:1">
      <c r="A101" s="4" t="s">
        <v>78</v>
      </c>
    </row>
    <row r="102" spans="1:1">
      <c r="A102" s="15" t="s">
        <v>80</v>
      </c>
    </row>
    <row r="103" spans="1:1">
      <c r="A103" s="16" t="s">
        <v>128</v>
      </c>
    </row>
    <row r="104" spans="1:1">
      <c r="A104" s="16" t="s">
        <v>121</v>
      </c>
    </row>
    <row r="105" ht="16.5" spans="1:1">
      <c r="A105" s="17" t="s">
        <v>46</v>
      </c>
    </row>
    <row r="107" ht="16.5" spans="1:1">
      <c r="A107" s="4" t="s">
        <v>96</v>
      </c>
    </row>
    <row r="108" spans="1:1">
      <c r="A108" s="15" t="s">
        <v>213</v>
      </c>
    </row>
    <row r="109" spans="1:1">
      <c r="A109" s="16" t="s">
        <v>112</v>
      </c>
    </row>
    <row r="110" ht="16.5" spans="1:1">
      <c r="A110" s="17" t="s">
        <v>185</v>
      </c>
    </row>
  </sheetData>
  <sheetProtection password="EF45" sheet="1" objects="1" scenarios="1"/>
  <sortState ref="A1:F36">
    <sortCondition ref="A2"/>
  </sortState>
  <pageMargins left="0.7" right="0.7" top="0.75" bottom="0.75" header="0.3" footer="0.3"/>
  <pageSetup paperSize="9" orientation="portrait" verticalDpi="598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AH1"/>
  <sheetViews>
    <sheetView topLeftCell="B1" workbookViewId="0">
      <selection activeCell="B1" sqref="B1:AH1"/>
    </sheetView>
  </sheetViews>
  <sheetFormatPr defaultColWidth="9" defaultRowHeight="15.75"/>
  <cols>
    <col min="1" max="15" width="8.8" style="1"/>
    <col min="16" max="16" width="16.9" style="1" customWidth="1"/>
    <col min="17" max="16384" width="8.8" style="1"/>
  </cols>
  <sheetData>
    <row r="1" spans="1:34">
      <c r="A1" s="1">
        <f>COUNT(现象研究记录数目)+1</f>
        <v>28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3"/>
    </row>
  </sheetData>
  <sheetProtection password="EF45" sheet="1" objects="1"/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功能研究录入界面</vt:lpstr>
      <vt:lpstr>功能研究记录</vt:lpstr>
      <vt:lpstr>后台选项</vt:lpstr>
      <vt:lpstr>中转站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用户</dc:creator>
  <cp:lastModifiedBy>gyy16</cp:lastModifiedBy>
  <dcterms:created xsi:type="dcterms:W3CDTF">2019-01-09T01:42:00Z</dcterms:created>
  <dcterms:modified xsi:type="dcterms:W3CDTF">2019-01-21T01:05:40Z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2052-10.8.2.6837</vt:lpwstr>
  </property>
</Properties>
</file>