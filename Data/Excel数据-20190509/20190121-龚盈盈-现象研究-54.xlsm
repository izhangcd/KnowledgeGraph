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39.bin" ContentType="application/vnd.ms-office.activeX"/>
  <Override PartName="/xl/activeX/activeX39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40.bin" ContentType="application/vnd.ms-office.activeX"/>
  <Override PartName="/xl/activeX/activeX40.xml" ContentType="application/vnd.ms-office.activeX+xml"/>
  <Override PartName="/xl/activeX/activeX41.bin" ContentType="application/vnd.ms-office.activeX"/>
  <Override PartName="/xl/activeX/activeX41.xml" ContentType="application/vnd.ms-office.activeX+xml"/>
  <Override PartName="/xl/activeX/activeX42.bin" ContentType="application/vnd.ms-office.activeX"/>
  <Override PartName="/xl/activeX/activeX42.xml" ContentType="application/vnd.ms-office.activeX+xml"/>
  <Override PartName="/xl/activeX/activeX43.bin" ContentType="application/vnd.ms-office.activeX"/>
  <Override PartName="/xl/activeX/activeX43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5.bin" ContentType="application/vnd.ms-office.activeX"/>
  <Override PartName="/xl/activeX/activeX45.xml" ContentType="application/vnd.ms-office.activeX+xml"/>
  <Override PartName="/xl/activeX/activeX46.bin" ContentType="application/vnd.ms-office.activeX"/>
  <Override PartName="/xl/activeX/activeX46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8.bin" ContentType="application/vnd.ms-office.activeX"/>
  <Override PartName="/xl/activeX/activeX48.xml" ContentType="application/vnd.ms-office.activeX+xml"/>
  <Override PartName="/xl/activeX/activeX49.bin" ContentType="application/vnd.ms-office.activeX"/>
  <Override PartName="/xl/activeX/activeX49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F45" lockStructure="1"/>
  <bookViews>
    <workbookView windowWidth="20385" windowHeight="8985" activeTab="1"/>
  </bookViews>
  <sheets>
    <sheet name="现象研究录入界面" sheetId="1" r:id="rId1"/>
    <sheet name="现象研究记录" sheetId="2" r:id="rId2"/>
    <sheet name="后台选项" sheetId="3" state="hidden" r:id="rId3"/>
    <sheet name="中转站" sheetId="4" r:id="rId4"/>
  </sheets>
  <definedNames>
    <definedName name="Adrenocortical_Carcinoma_肾上腺皮质癌_ACC">后台选项!$B$2:$C$2</definedName>
    <definedName name="Bladder_Cancer_膀胱癌">后台选项!$B$3:$D$3</definedName>
    <definedName name="Brain_Higher_Grade_Glioma_脑高级别神经胶质瘤_HGG">后台选项!$B$4:$D$4</definedName>
    <definedName name="Brain_Lower_Grade_Glioma_脑低级别神经胶质瘤_LGG">后台选项!$B$5:$C$5</definedName>
    <definedName name="Breast_Invasive_Carcinoma_乳腺癌_BRCA">后台选项!$B$6:$C$6</definedName>
    <definedName name="Cervical_Carcinoma_子宫颈癌_CECA">后台选项!$B$7:$E$7</definedName>
    <definedName name="Cholangiocarcinoma_胆管细胞癌_CHOL">后台选项!$B$8:$C$8</definedName>
    <definedName name="Colon_Cancer_结肠癌">后台选项!$B$9:$D$9</definedName>
    <definedName name="Esophageal_Cancer_食管癌">后台选项!$B$10:$E$10</definedName>
    <definedName name="Head_and_Neck_Cancer_Non_Nasopharyngeal_Carcinoma_头颈部癌_非鼻咽癌_HNC">后台选项!$B$11:$C$11</definedName>
    <definedName name="Hodgkin_Lymphoma_霍奇金淋巴瘤_HL">后台选项!$B$12:$C$12</definedName>
    <definedName name="Kidney_Cancer_肾癌">后台选项!$B$13:$F$13</definedName>
    <definedName name="Leukemia_白血病">后台选项!$B$14:$E$14</definedName>
    <definedName name="Liver_Hepatocellular_Carcinoma_肝细胞肝癌_LIHC">后台选项!$B$15:$C$15</definedName>
    <definedName name="Melanoma_黑色素瘤">后台选项!$B$16:$D$16</definedName>
    <definedName name="Mesothelioma_间皮瘤_MESO">后台选项!$B$17:$C$17</definedName>
    <definedName name="Nasopharyngeal_Squamous_Cell_Carcinoma_鼻咽鳞状细胞癌_NSCC">后台选项!$B$18:$C$18</definedName>
    <definedName name="Non_Hodgkin_Lymphoma_非霍奇金淋巴瘤_NHL">后台选项!$B$19:$D$19</definedName>
    <definedName name="Non_Small_Cell_Lung_Cancer_非小细胞肺癌_NSCLC">后台选项!$B$20:$E$20</definedName>
    <definedName name="Others">后台选项!$B$21</definedName>
    <definedName name="Ovarian_Cancer_卵巢癌">后台选项!$B$22:$D$22</definedName>
    <definedName name="Pancreatic_Cancer_胰腺癌">后台选项!$B$23:$D$23</definedName>
    <definedName name="Pheochromocytoma_and_Paraganglioma_嗜铬细胞瘤与副神经节瘤_PCPG">后台选项!$B$24:$C$24</definedName>
    <definedName name="Prostate_Adenocarcinoma_前列腺癌_PRAD">后台选项!$B$25:$C$25</definedName>
    <definedName name="Rectum_Cancer_直肠癌">后台选项!$B$26:$D$26</definedName>
    <definedName name="Sarcoma_肉瘤_SARC">后台选项!$B$27:$C$27</definedName>
    <definedName name="Skin_Malignancy_皮肤恶性肿瘤">后台选项!$B$28:$E$28</definedName>
    <definedName name="Small_Cell_Lung_Cancer_小细胞肺癌_SCLC">后台选项!$B$29:$C$29</definedName>
    <definedName name="Stomach_Cancer_胃癌">后台选项!$B$30:$D$30</definedName>
    <definedName name="Testicular_Germ_Cell_Tumors_睾丸生殖细胞瘤_TGCT">后台选项!$B$31:$C$31</definedName>
    <definedName name="Thymoma_胸腺瘤_THYM">后台选项!$B$32:$C$32</definedName>
    <definedName name="Thyroid_Carcinoma_甲状腺癌_THCA">后台选项!$B$33:$C$33</definedName>
    <definedName name="Uterine_Carcinosarcoma_子宫癌肉瘤_UCS">后台选项!$B$34:$C$34</definedName>
    <definedName name="Uterine_Corpus_Endometrial_Carcinoma_子宫内膜癌_UCEC">后台选项!$B$35:$C$35</definedName>
    <definedName name="Uveal_Melanoma_葡萄膜黑色素瘤_UVM">后台选项!$B$36:$C$36</definedName>
    <definedName name="现象研究记录数目">现象研究记录!$A:$A</definedName>
  </definedNames>
  <calcPr calcId="144525"/>
</workbook>
</file>

<file path=xl/comments1.xml><?xml version="1.0" encoding="utf-8"?>
<comments xmlns="http://schemas.openxmlformats.org/spreadsheetml/2006/main">
  <authors>
    <author>Microsoft Office 用户</author>
  </authors>
  <commentList>
    <comment ref="D5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 xml:space="preserve">1. 肿瘤类型参考TCGA的tumor type及简写，请选择下列肿瘤父类型的选项。如无匹配的肿瘤父类型选项，请选择选项“Others”；
</t>
        </r>
        <r>
          <rPr>
            <sz val="10"/>
            <color rgb="FF000000"/>
            <rFont val="Microsoft YaHei UI"/>
            <charset val="134"/>
          </rPr>
          <t xml:space="preserve">2. </t>
        </r>
        <r>
          <rPr>
            <sz val="10"/>
            <color rgb="FF000000"/>
            <rFont val="等线"/>
            <scheme val="minor"/>
            <charset val="0"/>
          </rPr>
          <t>如该肿瘤存在子类型，请选择相应选项。如无匹配的子类型，请选择</t>
        </r>
        <r>
          <rPr>
            <sz val="10"/>
            <color rgb="FF000000"/>
            <rFont val="Microsoft YaHei UI"/>
            <charset val="134"/>
          </rPr>
          <t>[</t>
        </r>
        <r>
          <rPr>
            <sz val="10"/>
            <color rgb="FF000000"/>
            <rFont val="等线"/>
            <scheme val="minor"/>
            <charset val="0"/>
          </rPr>
          <t>选填</t>
        </r>
        <r>
          <rPr>
            <sz val="10"/>
            <color rgb="FF000000"/>
            <rFont val="Microsoft YaHei UI"/>
            <charset val="134"/>
          </rPr>
          <t>]</t>
        </r>
        <r>
          <rPr>
            <sz val="10"/>
            <color rgb="FF000000"/>
            <rFont val="等线"/>
            <scheme val="minor"/>
            <charset val="0"/>
          </rPr>
          <t>，删除“选填”二字，并手动输入该肿瘤子类型的英文全称；</t>
        </r>
        <r>
          <rPr>
            <sz val="10"/>
            <color rgb="FF000000"/>
            <rFont val="Microsoft YaHei UI"/>
            <charset val="134"/>
          </rPr>
          <t xml:space="preserve">
3. </t>
        </r>
        <r>
          <rPr>
            <sz val="10"/>
            <color rgb="FF000000"/>
            <rFont val="等线"/>
            <scheme val="minor"/>
            <charset val="0"/>
          </rPr>
          <t>如原文仅能明确父类型，则子类型一栏中选择“</t>
        </r>
        <r>
          <rPr>
            <sz val="10"/>
            <color rgb="FF000000"/>
            <rFont val="Microsoft YaHei UI"/>
            <charset val="134"/>
          </rPr>
          <t>NA"</t>
        </r>
        <r>
          <rPr>
            <sz val="10"/>
            <color rgb="FF000000"/>
            <rFont val="等线"/>
            <scheme val="minor"/>
            <charset val="0"/>
          </rPr>
          <t>。</t>
        </r>
      </text>
    </comment>
    <comment ref="D7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注：
如所研究细胞来源于自发性肿瘤动物模型或诱发性肿瘤动物模型，则归为“animal model”选项。如细胞来源于移植瘤肿瘤动物模型，则应归类为”cell line“选项。</t>
        </r>
      </text>
    </comment>
    <comment ref="D10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研究中进行比较所选取的参照对象。请根据原文及作者原意在空格处填写参照对象，现象研究中参照为细胞系，如parent Hep2 cells, Paracancerous normal tissue等。</t>
        </r>
      </text>
    </comment>
    <comment ref="D12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请选用文中所列出的分子名称，一个问卷只填写一个分子。如有多个分子，请新增子条目填写。
1. 如果突变或甲基化仅涉及明确的单个基因（如点突变），则填写gene名称及ID；gene名称及ID的输入：先选择“[选填]”，删除“选填”二字后，手动输入名称或ID号；
2. 如涉及多个基因或大片基因，则不填写具体gene名称及ID，仅填写相应突变或甲基化的具体名称，ID选择“NA”。</t>
        </r>
      </text>
    </comment>
    <comment ref="D13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名称及ID的输入：先选择“[选填]”，删除“选填”二字后，手动输入名称或ID号。</t>
        </r>
      </text>
    </comment>
  </commentList>
</comments>
</file>

<file path=xl/sharedStrings.xml><?xml version="1.0" encoding="utf-8"?>
<sst xmlns="http://schemas.openxmlformats.org/spreadsheetml/2006/main" count="1043" uniqueCount="259">
  <si>
    <r>
      <rPr>
        <sz val="12"/>
        <color theme="1"/>
        <rFont val="Adobe 仿宋 Std R"/>
        <charset val="134"/>
      </rPr>
      <t>字段名称</t>
    </r>
  </si>
  <si>
    <r>
      <rPr>
        <sz val="12"/>
        <color theme="1"/>
        <rFont val="Adobe 仿宋 Std R"/>
        <charset val="134"/>
      </rPr>
      <t>字段编码</t>
    </r>
  </si>
  <si>
    <r>
      <rPr>
        <sz val="12"/>
        <color theme="1"/>
        <rFont val="Adobe 仿宋 Std R"/>
        <charset val="134"/>
      </rPr>
      <t>样卷</t>
    </r>
    <r>
      <rPr>
        <sz val="12"/>
        <color theme="1"/>
        <rFont val="Calibri Light"/>
        <charset val="134"/>
      </rPr>
      <t xml:space="preserve"> (Record0)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</si>
  <si>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1 (Record1)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</si>
  <si>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2 (Record2)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</si>
  <si>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3 (Record3)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</si>
  <si>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4 (Record4)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</si>
  <si>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5 (Record5)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</si>
  <si>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6 (Record6)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</si>
  <si>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7 (Record7)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</si>
  <si>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8 (Record8)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</si>
  <si>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9 (Record9)</t>
    </r>
  </si>
  <si>
    <r>
      <rPr>
        <sz val="12"/>
        <color theme="1"/>
        <rFont val="Adobe 仿宋 Std R"/>
        <charset val="134"/>
      </rPr>
      <t>文献基本信息</t>
    </r>
  </si>
  <si>
    <r>
      <rPr>
        <sz val="12"/>
        <color theme="1"/>
        <rFont val="Adobe 仿宋 Std R"/>
        <charset val="134"/>
      </rPr>
      <t>记录的编号</t>
    </r>
  </si>
  <si>
    <t>RecordID</t>
  </si>
  <si>
    <r>
      <rPr>
        <sz val="12"/>
        <color theme="1"/>
        <rFont val="Adobe 仿宋 Std R"/>
        <charset val="134"/>
      </rPr>
      <t>文献的标题</t>
    </r>
  </si>
  <si>
    <t>Title</t>
  </si>
  <si>
    <t>Up-regulation of microRNA-138 induce radiosensitization in lung cancer cells</t>
  </si>
  <si>
    <r>
      <rPr>
        <sz val="12"/>
        <color theme="1"/>
        <rFont val="Adobe 仿宋 Std R"/>
        <charset val="134"/>
      </rPr>
      <t>文献的</t>
    </r>
    <r>
      <rPr>
        <sz val="12"/>
        <color theme="1"/>
        <rFont val="Calibri Light"/>
        <charset val="134"/>
      </rPr>
      <t>ID</t>
    </r>
    <r>
      <rPr>
        <sz val="12"/>
        <color theme="1"/>
        <rFont val="Adobe 仿宋 Std R"/>
        <charset val="134"/>
      </rPr>
      <t>号</t>
    </r>
  </si>
  <si>
    <t>PMID</t>
  </si>
  <si>
    <t>24691972</t>
  </si>
  <si>
    <r>
      <rPr>
        <sz val="12"/>
        <color theme="1"/>
        <rFont val="Adobe 仿宋 Std R"/>
        <charset val="134"/>
      </rPr>
      <t>（一）起点：对象</t>
    </r>
  </si>
  <si>
    <r>
      <rPr>
        <sz val="12"/>
        <color theme="1"/>
        <rFont val="Calibri Light"/>
        <charset val="134"/>
      </rPr>
      <t xml:space="preserve">1.1 </t>
    </r>
    <r>
      <rPr>
        <sz val="12"/>
        <color theme="1"/>
        <rFont val="Adobe 仿宋 Std R"/>
        <charset val="134"/>
      </rPr>
      <t>肿瘤类型</t>
    </r>
  </si>
  <si>
    <t>Tumor_Type</t>
  </si>
  <si>
    <t>Non_Small_Cell_Lung_Cancer_非小细胞肺癌_NSCLC</t>
  </si>
  <si>
    <r>
      <rPr>
        <sz val="12"/>
        <color theme="1"/>
        <rFont val="Calibri Light"/>
        <charset val="134"/>
      </rPr>
      <t xml:space="preserve">1.1.1 </t>
    </r>
    <r>
      <rPr>
        <sz val="12"/>
        <color theme="1"/>
        <rFont val="Adobe 仿宋 Std R"/>
        <charset val="134"/>
      </rPr>
      <t>子类型</t>
    </r>
  </si>
  <si>
    <t>Sub_Tumor_Type</t>
  </si>
  <si>
    <t>NA</t>
  </si>
  <si>
    <t>Lung_Adenocarcinoma_肺腺癌_LUAD</t>
  </si>
  <si>
    <r>
      <rPr>
        <sz val="12"/>
        <color theme="1"/>
        <rFont val="Calibri Light"/>
        <charset val="134"/>
      </rPr>
      <t xml:space="preserve">1.2 </t>
    </r>
    <r>
      <rPr>
        <sz val="12"/>
        <color theme="1"/>
        <rFont val="Adobe 仿宋 Std R"/>
        <charset val="134"/>
      </rPr>
      <t>样本类型</t>
    </r>
  </si>
  <si>
    <t>Sample_Type</t>
  </si>
  <si>
    <t>cell_line</t>
  </si>
  <si>
    <r>
      <rPr>
        <sz val="12"/>
        <color theme="1"/>
        <rFont val="Calibri Light"/>
        <charset val="134"/>
      </rPr>
      <t xml:space="preserve">1.3 </t>
    </r>
    <r>
      <rPr>
        <sz val="12"/>
        <color theme="1"/>
        <rFont val="Adobe 仿宋 Std R"/>
        <charset val="134"/>
      </rPr>
      <t>样本名称</t>
    </r>
  </si>
  <si>
    <t>Sample_Name</t>
  </si>
  <si>
    <t>NCI-H460</t>
  </si>
  <si>
    <t>A549</t>
  </si>
  <si>
    <t xml:space="preserve"> SPC-A-1</t>
  </si>
  <si>
    <t>NCI-H1299</t>
  </si>
  <si>
    <r>
      <rPr>
        <sz val="12"/>
        <color theme="1"/>
        <rFont val="Calibri Light"/>
        <charset val="134"/>
      </rPr>
      <t xml:space="preserve">1.4 </t>
    </r>
    <r>
      <rPr>
        <sz val="12"/>
        <color theme="1"/>
        <rFont val="Adobe 仿宋 Std R"/>
        <charset val="134"/>
      </rPr>
      <t>辐射耐受性状</t>
    </r>
  </si>
  <si>
    <t>Radiation_Tolerance_Character</t>
  </si>
  <si>
    <t>default</t>
  </si>
  <si>
    <r>
      <rPr>
        <sz val="12"/>
        <color theme="1"/>
        <rFont val="Adobe 仿宋 Std R"/>
        <charset val="134"/>
      </rPr>
      <t>（二）终点：结局（遗传分子差异）</t>
    </r>
  </si>
  <si>
    <r>
      <rPr>
        <sz val="12"/>
        <color theme="1"/>
        <rFont val="Calibri Light"/>
        <charset val="134"/>
      </rPr>
      <t xml:space="preserve">2.1 </t>
    </r>
    <r>
      <rPr>
        <sz val="12"/>
        <color theme="1"/>
        <rFont val="Adobe 仿宋 Std R"/>
        <charset val="134"/>
      </rPr>
      <t>参照对象</t>
    </r>
  </si>
  <si>
    <t>Reference_Object</t>
  </si>
  <si>
    <t>NHBE</t>
  </si>
  <si>
    <r>
      <rPr>
        <sz val="12"/>
        <color theme="1"/>
        <rFont val="Calibri Light"/>
        <charset val="134"/>
      </rPr>
      <t xml:space="preserve">2.2 </t>
    </r>
    <r>
      <rPr>
        <sz val="12"/>
        <color theme="1"/>
        <rFont val="Adobe 仿宋 Std R"/>
        <charset val="134"/>
      </rPr>
      <t>改变类型</t>
    </r>
  </si>
  <si>
    <t>Type_of_Molecular_Biological_Change</t>
  </si>
  <si>
    <t>protein_level</t>
  </si>
  <si>
    <r>
      <rPr>
        <sz val="12"/>
        <color theme="1"/>
        <rFont val="Calibri Light"/>
        <charset val="134"/>
      </rPr>
      <t xml:space="preserve">2.3 </t>
    </r>
    <r>
      <rPr>
        <sz val="12"/>
        <color theme="1"/>
        <rFont val="Adobe 仿宋 Std R"/>
        <charset val="134"/>
      </rPr>
      <t>所改变的分子名称</t>
    </r>
  </si>
  <si>
    <t>Name_of_Changed_Molecule</t>
  </si>
  <si>
    <t>SENP1</t>
  </si>
  <si>
    <r>
      <rPr>
        <sz val="12"/>
        <color theme="1"/>
        <rFont val="Calibri Light"/>
        <charset val="134"/>
      </rPr>
      <t xml:space="preserve">2.4 </t>
    </r>
    <r>
      <rPr>
        <sz val="12"/>
        <color theme="1"/>
        <rFont val="Adobe 仿宋 Std R"/>
        <charset val="134"/>
      </rPr>
      <t>基因</t>
    </r>
    <r>
      <rPr>
        <sz val="12"/>
        <color theme="1"/>
        <rFont val="Calibri Light"/>
        <charset val="134"/>
      </rPr>
      <t>ID</t>
    </r>
  </si>
  <si>
    <t>GeneID</t>
  </si>
  <si>
    <r>
      <rPr>
        <sz val="12"/>
        <color theme="1"/>
        <rFont val="Calibri Light"/>
        <charset val="134"/>
      </rPr>
      <t xml:space="preserve">2.5 </t>
    </r>
    <r>
      <rPr>
        <sz val="12"/>
        <color theme="1"/>
        <rFont val="Adobe 仿宋 Std R"/>
        <charset val="134"/>
      </rPr>
      <t>改变结果</t>
    </r>
  </si>
  <si>
    <t>Result_of_Molecular_Biological_Change</t>
  </si>
  <si>
    <t>increased</t>
  </si>
  <si>
    <r>
      <rPr>
        <sz val="12"/>
        <color theme="1"/>
        <rFont val="Adobe 仿宋 Std R"/>
        <charset val="134"/>
      </rPr>
      <t>其他</t>
    </r>
  </si>
  <si>
    <r>
      <rPr>
        <sz val="12"/>
        <color theme="1"/>
        <rFont val="Adobe 仿宋 Std R"/>
        <charset val="134"/>
      </rPr>
      <t>原文关键语句</t>
    </r>
  </si>
  <si>
    <t>Key_Sentences</t>
  </si>
  <si>
    <t>The protein expression of SENP1 in four lung cancer cell lines was also significantly increased as compared to NHBE cell line</t>
  </si>
  <si>
    <r>
      <rPr>
        <sz val="12"/>
        <color theme="1"/>
        <rFont val="Adobe 仿宋 Std R"/>
        <charset val="134"/>
      </rPr>
      <t>录入者姓名</t>
    </r>
  </si>
  <si>
    <t>Signature</t>
  </si>
  <si>
    <t>龚盈盈</t>
  </si>
  <si>
    <t>时间</t>
  </si>
  <si>
    <t>Time_Save</t>
  </si>
  <si>
    <t xml:space="preserve"> NCI-H460</t>
  </si>
  <si>
    <t>microRNA_level</t>
  </si>
  <si>
    <t>MiR-138</t>
  </si>
  <si>
    <t>reduced</t>
  </si>
  <si>
    <t xml:space="preserve">The expression of miR-138 in the four lung cancer celll ines was significantly reducedas compared to NHBE cell line </t>
  </si>
  <si>
    <t>human_tissue</t>
  </si>
  <si>
    <t>lung cancer</t>
  </si>
  <si>
    <t>normal tissues</t>
  </si>
  <si>
    <t>gene_expression</t>
  </si>
  <si>
    <t xml:space="preserve">SENP1 </t>
  </si>
  <si>
    <t>29843</t>
  </si>
  <si>
    <t>the mRNA levels of SENP1 were significantly increased in the cancer tissues when compared with the levels in adjacent normal tissues.</t>
  </si>
  <si>
    <t>miR-138</t>
  </si>
  <si>
    <t>downregulatrd</t>
  </si>
  <si>
    <t xml:space="preserve"> the expression levels of miR-138 were down-
regulated in lung cancer tissues as compared to matched normal tissuesfromthesamepatients.</t>
  </si>
  <si>
    <t>Overexpression of GLUT-1 is associated with resistance to radiotherapy and adverse prognosis in squamous cell carcinoma of the oral cavity</t>
  </si>
  <si>
    <t>17207657</t>
  </si>
  <si>
    <t>Head_and_Neck_Cancer_Non_Nasopharyngeal_Carcinoma_头颈部癌_非鼻咽癌_HNC</t>
  </si>
  <si>
    <t>OSCC</t>
  </si>
  <si>
    <t xml:space="preserve"> GLUT-1</t>
  </si>
  <si>
    <t>Expression of GLUT-1 was positive in all OSCC specimens examined as part of this study.</t>
  </si>
  <si>
    <t>MiR-122 Induces Radiosensitization in Non-Small Cell Lung Cancer Cell Line</t>
  </si>
  <si>
    <t>26389880</t>
  </si>
  <si>
    <t>Others</t>
  </si>
  <si>
    <t>L-02</t>
  </si>
  <si>
    <t xml:space="preserve">MiR-122 </t>
  </si>
  <si>
    <t>down</t>
  </si>
  <si>
    <t>As shown in Figure 1, a high level of miR-122 was detected in L-02, a non-tumor hepatocyte cell line. HepG2 and MHCC-97L cells lines express miR-122. No endogenous miR-122 was observed in MHCC-97H, NSCLC A549(adenocarcinoma, the most common subtype of NSCLC), and H460 (large cell carcinoma) cell lines.</t>
  </si>
  <si>
    <t xml:space="preserve"> H460</t>
  </si>
  <si>
    <t>MHCC-97H</t>
  </si>
  <si>
    <t>MHCC-97L</t>
  </si>
  <si>
    <t xml:space="preserve">As shown in Figure 1, a high level of miR-122 was detected in L-02, a non-tumor hepatocyte cell line. HepG2 and MHCC-97L cells lines express miR-122. </t>
  </si>
  <si>
    <t>HepG2</t>
  </si>
  <si>
    <t>MicroRNA-375 Inhibits Growth and Enhances Radiosensitivity in Oral Squamous Cell Carcinoma by Targeting Insulin Like Growth Factor 1eceptor</t>
  </si>
  <si>
    <t>28810236</t>
  </si>
  <si>
    <t>Oral Squamous Cell Carcinoma</t>
  </si>
  <si>
    <t>OSCC Tissues</t>
  </si>
  <si>
    <t>normal oral epithelial tissues</t>
  </si>
  <si>
    <t>miR-375</t>
  </si>
  <si>
    <t>the expression level of miR-375 was significantly reduced in OSCC tissues compared with normal oral epithelial tissues (P&lt;0.001).</t>
  </si>
  <si>
    <t>Expression profile of apoptosis related genes and radio-sensitivity of prostate cancer cells</t>
  </si>
  <si>
    <t>22020081</t>
  </si>
  <si>
    <t>Prostate_Adenocarcinoma_前列腺癌_PRAD</t>
  </si>
  <si>
    <t>LNCaP</t>
  </si>
  <si>
    <t>PC3</t>
  </si>
  <si>
    <t>TRAF4</t>
  </si>
  <si>
    <t>[9618]</t>
  </si>
  <si>
    <t>up</t>
  </si>
  <si>
    <t>showed in table1</t>
  </si>
  <si>
    <t>TRAF2</t>
  </si>
  <si>
    <t>[7186]</t>
  </si>
  <si>
    <t>PYCARD</t>
  </si>
  <si>
    <t>[29108]</t>
  </si>
  <si>
    <t xml:space="preserve">DAPK1 </t>
  </si>
  <si>
    <t>[1612]</t>
  </si>
  <si>
    <t>NOD1</t>
  </si>
  <si>
    <t>[10392]</t>
  </si>
  <si>
    <t>TP73</t>
  </si>
  <si>
    <t>[7161]</t>
  </si>
  <si>
    <t>TP53</t>
  </si>
  <si>
    <t>[7157]</t>
  </si>
  <si>
    <t>CASP6</t>
  </si>
  <si>
    <t>[839]</t>
  </si>
  <si>
    <t xml:space="preserve">CASP3 </t>
  </si>
  <si>
    <t>[836]</t>
  </si>
  <si>
    <t xml:space="preserve">BCL2 </t>
  </si>
  <si>
    <t>[596]</t>
  </si>
  <si>
    <t>CRADD</t>
  </si>
  <si>
    <t>[8738]</t>
  </si>
  <si>
    <t>CASP4</t>
  </si>
  <si>
    <t>[837]</t>
  </si>
  <si>
    <t>CASP1</t>
  </si>
  <si>
    <t>[834]</t>
  </si>
  <si>
    <t>CARD6</t>
  </si>
  <si>
    <t>[84674]</t>
  </si>
  <si>
    <t>BIRC3</t>
  </si>
  <si>
    <t>[330]</t>
  </si>
  <si>
    <t>BIRC2</t>
  </si>
  <si>
    <t>329</t>
  </si>
  <si>
    <t xml:space="preserve">CASP6 </t>
  </si>
  <si>
    <t>CASP3</t>
  </si>
  <si>
    <t>CSAP14</t>
  </si>
  <si>
    <t>[106]</t>
  </si>
  <si>
    <t xml:space="preserve">CASP1 </t>
  </si>
  <si>
    <t>[12362]</t>
  </si>
  <si>
    <t xml:space="preserve">CD70 </t>
  </si>
  <si>
    <t>[970]</t>
  </si>
  <si>
    <t>CD40</t>
  </si>
  <si>
    <t>[958]</t>
  </si>
  <si>
    <t>TNFRSF9</t>
  </si>
  <si>
    <t>[21942]</t>
  </si>
  <si>
    <t>TNFRSF21</t>
  </si>
  <si>
    <t>[27242]</t>
  </si>
  <si>
    <t>TNFRSF11B</t>
  </si>
  <si>
    <t>[4982]</t>
  </si>
  <si>
    <t>TNFRSF10B</t>
  </si>
  <si>
    <t>[8795]</t>
  </si>
  <si>
    <t>IGFIR</t>
  </si>
  <si>
    <t>[3480]</t>
  </si>
  <si>
    <t xml:space="preserve">BRAF </t>
  </si>
  <si>
    <t>[673]</t>
  </si>
  <si>
    <t>[329]</t>
  </si>
  <si>
    <t xml:space="preserve">BCL2L10 </t>
  </si>
  <si>
    <t>[10017]</t>
  </si>
  <si>
    <t xml:space="preserve">BCL2A1 </t>
  </si>
  <si>
    <t>[597]</t>
  </si>
  <si>
    <t>PC3 cells also presented higher expression
levels in the Card family genes, including BIRC2, BIRC3,CARD6, CASP1, CASP4 (Table 1 and Fig. 2).</t>
  </si>
  <si>
    <t>Expression of dihydrodiol dehydrogenase and resistance to chemotherapy and radiotherapy in adenocarcinoma cells of lung</t>
  </si>
  <si>
    <t>16886619</t>
  </si>
  <si>
    <t>H2126</t>
  </si>
  <si>
    <t xml:space="preserve">H23, H838, H1437, H1648, H2009, H2087 </t>
  </si>
  <si>
    <t>DDH</t>
  </si>
  <si>
    <t>[1645]</t>
  </si>
  <si>
    <t>The expression of DDH was high in H838, H1437
and H1648 and weak in H2126, H2087 and H23. DDH was not detected in the H2009 cells</t>
  </si>
  <si>
    <t>H2087</t>
  </si>
  <si>
    <t>H23, H838, H1437, H1648, H2009 and H2126</t>
  </si>
  <si>
    <t xml:space="preserve"> H2009</t>
  </si>
  <si>
    <t>H23, H838, H1437, H1648,  H2087 and H2126</t>
  </si>
  <si>
    <t>no change</t>
  </si>
  <si>
    <t>H1648</t>
  </si>
  <si>
    <t xml:space="preserve"> H838, H1437, H23, H2009, H2087 and H2126</t>
  </si>
  <si>
    <t>H1437</t>
  </si>
  <si>
    <t xml:space="preserve"> H838, H23, H1648, H2009, H2087 and H2126</t>
  </si>
  <si>
    <t>H23</t>
  </si>
  <si>
    <t xml:space="preserve"> H838, H1437, H1648, H2009, H2087 and H2126</t>
  </si>
  <si>
    <t>H838</t>
  </si>
  <si>
    <t xml:space="preserve"> H23,H1437, H1648, H2009, H2087 and H2126</t>
  </si>
  <si>
    <r>
      <rPr>
        <sz val="12"/>
        <color theme="1"/>
        <rFont val="Calibri Light"/>
        <charset val="134"/>
      </rPr>
      <t>Adrenocortical_Carcinoma_</t>
    </r>
    <r>
      <rPr>
        <sz val="12"/>
        <color theme="1"/>
        <rFont val="Adobe 仿宋 Std R"/>
        <charset val="134"/>
      </rPr>
      <t>肾上腺皮质癌</t>
    </r>
    <r>
      <rPr>
        <sz val="12"/>
        <color theme="1"/>
        <rFont val="Calibri Light"/>
        <charset val="134"/>
      </rPr>
      <t>_ACC</t>
    </r>
  </si>
  <si>
    <r>
      <rPr>
        <sz val="12"/>
        <color theme="1"/>
        <rFont val="Calibri Light"/>
        <charset val="134"/>
      </rPr>
      <t>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</si>
  <si>
    <r>
      <rPr>
        <sz val="12"/>
        <color theme="1"/>
        <rFont val="Calibri Light"/>
        <charset val="134"/>
      </rPr>
      <t>Bladder_Cancer_</t>
    </r>
    <r>
      <rPr>
        <sz val="12"/>
        <color theme="1"/>
        <rFont val="Adobe 仿宋 Std R"/>
        <charset val="134"/>
      </rPr>
      <t>膀胱癌</t>
    </r>
  </si>
  <si>
    <r>
      <rPr>
        <sz val="12"/>
        <color theme="1"/>
        <rFont val="Calibri Light"/>
        <charset val="134"/>
      </rPr>
      <t>Bladder_Urothelial_Carcinoma_</t>
    </r>
    <r>
      <rPr>
        <sz val="12"/>
        <color theme="1"/>
        <rFont val="Adobe 仿宋 Std R"/>
        <charset val="134"/>
      </rPr>
      <t>膀胱尿路上皮癌</t>
    </r>
    <r>
      <rPr>
        <sz val="12"/>
        <color theme="1"/>
        <rFont val="Calibri Light"/>
        <charset val="134"/>
      </rPr>
      <t>_BLCA</t>
    </r>
  </si>
  <si>
    <r>
      <rPr>
        <sz val="12"/>
        <color theme="1"/>
        <rFont val="Calibri Light"/>
        <charset val="134"/>
      </rPr>
      <t>Brain_Higher_Grade_Glioma_</t>
    </r>
    <r>
      <rPr>
        <sz val="12"/>
        <color theme="1"/>
        <rFont val="Adobe 仿宋 Std R"/>
        <charset val="134"/>
      </rPr>
      <t>脑高级别神经胶质瘤</t>
    </r>
    <r>
      <rPr>
        <sz val="12"/>
        <color theme="1"/>
        <rFont val="Calibri Light"/>
        <charset val="134"/>
      </rPr>
      <t>_HGG</t>
    </r>
  </si>
  <si>
    <r>
      <rPr>
        <sz val="12"/>
        <color theme="1"/>
        <rFont val="Calibri Light"/>
        <charset val="134"/>
      </rPr>
      <t>Glioblastoma_Multiforme_</t>
    </r>
    <r>
      <rPr>
        <sz val="12"/>
        <color theme="1"/>
        <rFont val="Adobe 仿宋 Std R"/>
        <charset val="134"/>
      </rPr>
      <t>胶质母细胞瘤</t>
    </r>
    <r>
      <rPr>
        <sz val="12"/>
        <color theme="1"/>
        <rFont val="Calibri Light"/>
        <charset val="134"/>
      </rPr>
      <t>_GBM</t>
    </r>
  </si>
  <si>
    <r>
      <rPr>
        <sz val="12"/>
        <color theme="1"/>
        <rFont val="Calibri Light"/>
        <charset val="134"/>
      </rPr>
      <t>Brain_Lower_Grade_Glioma_</t>
    </r>
    <r>
      <rPr>
        <sz val="12"/>
        <color theme="1"/>
        <rFont val="Adobe 仿宋 Std R"/>
        <charset val="134"/>
      </rPr>
      <t>脑低级别神经胶质瘤</t>
    </r>
    <r>
      <rPr>
        <sz val="12"/>
        <color theme="1"/>
        <rFont val="Calibri Light"/>
        <charset val="134"/>
      </rPr>
      <t>_LGG</t>
    </r>
  </si>
  <si>
    <r>
      <rPr>
        <sz val="12"/>
        <color theme="1"/>
        <rFont val="Calibri Light"/>
        <charset val="134"/>
      </rPr>
      <t>Breast_Invasive_Carcinoma_</t>
    </r>
    <r>
      <rPr>
        <sz val="12"/>
        <color theme="1"/>
        <rFont val="Adobe 仿宋 Std R"/>
        <charset val="134"/>
      </rPr>
      <t>乳腺癌</t>
    </r>
    <r>
      <rPr>
        <sz val="12"/>
        <color theme="1"/>
        <rFont val="Calibri Light"/>
        <charset val="134"/>
      </rPr>
      <t>_BRCA</t>
    </r>
  </si>
  <si>
    <r>
      <rPr>
        <sz val="12"/>
        <color theme="1"/>
        <rFont val="Calibri Light"/>
        <charset val="134"/>
      </rPr>
      <t>Cervical_Carcinoma_</t>
    </r>
    <r>
      <rPr>
        <sz val="12"/>
        <color theme="1"/>
        <rFont val="Adobe 仿宋 Std R"/>
        <charset val="134"/>
      </rPr>
      <t>子宫颈癌</t>
    </r>
    <r>
      <rPr>
        <sz val="12"/>
        <color theme="1"/>
        <rFont val="Calibri Light"/>
        <charset val="134"/>
      </rPr>
      <t>_CECA</t>
    </r>
  </si>
  <si>
    <r>
      <rPr>
        <sz val="12"/>
        <color theme="1"/>
        <rFont val="Calibri Light"/>
        <charset val="134"/>
      </rPr>
      <t>Cervical_Squamous_Cell_Carcinoma_</t>
    </r>
    <r>
      <rPr>
        <sz val="12"/>
        <color theme="1"/>
        <rFont val="Adobe 仿宋 Std R"/>
        <charset val="134"/>
      </rPr>
      <t>子宫颈鳞癌</t>
    </r>
    <r>
      <rPr>
        <sz val="12"/>
        <color theme="1"/>
        <rFont val="Calibri Light"/>
        <charset val="134"/>
      </rPr>
      <t>_CSCC</t>
    </r>
  </si>
  <si>
    <r>
      <rPr>
        <sz val="12"/>
        <color theme="1"/>
        <rFont val="Calibri Light"/>
        <charset val="134"/>
      </rPr>
      <t>Cervical_and_Endocervical_Adenocarcinoma_</t>
    </r>
    <r>
      <rPr>
        <sz val="12"/>
        <color theme="1"/>
        <rFont val="Adobe 仿宋 Std R"/>
        <charset val="134"/>
      </rPr>
      <t>子宫颈腺癌</t>
    </r>
  </si>
  <si>
    <r>
      <rPr>
        <sz val="12"/>
        <color theme="1"/>
        <rFont val="Calibri Light"/>
        <charset val="134"/>
      </rPr>
      <t>Cholangiocarcinoma_</t>
    </r>
    <r>
      <rPr>
        <sz val="12"/>
        <color theme="1"/>
        <rFont val="Adobe 仿宋 Std R"/>
        <charset val="134"/>
      </rPr>
      <t>胆管细胞癌</t>
    </r>
    <r>
      <rPr>
        <sz val="12"/>
        <color theme="1"/>
        <rFont val="Calibri Light"/>
        <charset val="134"/>
      </rPr>
      <t>_CHOL</t>
    </r>
  </si>
  <si>
    <r>
      <rPr>
        <sz val="12"/>
        <color theme="1"/>
        <rFont val="Calibri Light"/>
        <charset val="134"/>
      </rPr>
      <t>Colon_Cancer_</t>
    </r>
    <r>
      <rPr>
        <sz val="12"/>
        <color theme="1"/>
        <rFont val="Adobe 仿宋 Std R"/>
        <charset val="134"/>
      </rPr>
      <t>结肠癌</t>
    </r>
  </si>
  <si>
    <r>
      <rPr>
        <sz val="12"/>
        <color theme="1"/>
        <rFont val="Calibri Light"/>
        <charset val="134"/>
      </rPr>
      <t>Colon_Adenocarcinoma_</t>
    </r>
    <r>
      <rPr>
        <sz val="12"/>
        <color theme="1"/>
        <rFont val="Adobe 仿宋 Std R"/>
        <charset val="134"/>
      </rPr>
      <t>结肠腺癌</t>
    </r>
    <r>
      <rPr>
        <sz val="12"/>
        <color theme="1"/>
        <rFont val="Calibri Light"/>
        <charset val="134"/>
      </rPr>
      <t>_COAD</t>
    </r>
  </si>
  <si>
    <r>
      <rPr>
        <sz val="12"/>
        <color theme="1"/>
        <rFont val="Calibri Light"/>
        <charset val="134"/>
      </rPr>
      <t>Esophageal_Cancer_</t>
    </r>
    <r>
      <rPr>
        <sz val="12"/>
        <color theme="1"/>
        <rFont val="Adobe 仿宋 Std R"/>
        <charset val="134"/>
      </rPr>
      <t>食管癌</t>
    </r>
  </si>
  <si>
    <r>
      <rPr>
        <sz val="12"/>
        <color theme="1"/>
        <rFont val="Calibri Light"/>
        <charset val="134"/>
      </rPr>
      <t>Esophageal_Squamous_Cell_Carcinoma_</t>
    </r>
    <r>
      <rPr>
        <sz val="12"/>
        <color theme="1"/>
        <rFont val="Adobe 仿宋 Std R"/>
        <charset val="134"/>
      </rPr>
      <t>食管鳞癌</t>
    </r>
    <r>
      <rPr>
        <sz val="12"/>
        <color theme="1"/>
        <rFont val="Calibri Light"/>
        <charset val="134"/>
      </rPr>
      <t>_ESCC</t>
    </r>
  </si>
  <si>
    <r>
      <rPr>
        <sz val="12"/>
        <color theme="1"/>
        <rFont val="Calibri Light"/>
        <charset val="134"/>
      </rPr>
      <t>Esophageal_Adenocarcinoma_</t>
    </r>
    <r>
      <rPr>
        <sz val="12"/>
        <color theme="1"/>
        <rFont val="Adobe 仿宋 Std R"/>
        <charset val="134"/>
      </rPr>
      <t>食管腺癌</t>
    </r>
    <r>
      <rPr>
        <sz val="12"/>
        <color theme="1"/>
        <rFont val="Calibri Light"/>
        <charset val="134"/>
      </rPr>
      <t>_EAC</t>
    </r>
  </si>
  <si>
    <r>
      <rPr>
        <sz val="12"/>
        <color theme="1"/>
        <rFont val="Calibri Light"/>
        <charset val="134"/>
      </rPr>
      <t>Head_and_Neck_Cancer_Non_Nasopharyngeal_Carcinoma_</t>
    </r>
    <r>
      <rPr>
        <sz val="12"/>
        <color theme="1"/>
        <rFont val="Adobe 仿宋 Std R"/>
        <charset val="134"/>
      </rPr>
      <t>头颈部癌</t>
    </r>
    <r>
      <rPr>
        <sz val="12"/>
        <color theme="1"/>
        <rFont val="Calibri Light"/>
        <charset val="134"/>
      </rPr>
      <t>_</t>
    </r>
    <r>
      <rPr>
        <sz val="12"/>
        <color theme="1"/>
        <rFont val="Adobe 仿宋 Std R"/>
        <charset val="134"/>
      </rPr>
      <t>非鼻咽癌</t>
    </r>
    <r>
      <rPr>
        <sz val="12"/>
        <color theme="1"/>
        <rFont val="Calibri Light"/>
        <charset val="134"/>
      </rPr>
      <t>_HNC</t>
    </r>
  </si>
  <si>
    <r>
      <rPr>
        <sz val="12"/>
        <color theme="1"/>
        <rFont val="Calibri Light"/>
        <charset val="134"/>
      </rPr>
      <t>Hodgkin_Lymphoma_</t>
    </r>
    <r>
      <rPr>
        <sz val="12"/>
        <color theme="1"/>
        <rFont val="Adobe 仿宋 Std R"/>
        <charset val="134"/>
      </rPr>
      <t>霍奇金淋巴瘤</t>
    </r>
    <r>
      <rPr>
        <sz val="12"/>
        <color theme="1"/>
        <rFont val="Calibri Light"/>
        <charset val="134"/>
      </rPr>
      <t>_HL</t>
    </r>
  </si>
  <si>
    <r>
      <rPr>
        <sz val="12"/>
        <color theme="1"/>
        <rFont val="Calibri Light"/>
        <charset val="134"/>
      </rPr>
      <t>Kidney_Cancer_</t>
    </r>
    <r>
      <rPr>
        <sz val="12"/>
        <color theme="1"/>
        <rFont val="Adobe 仿宋 Std R"/>
        <charset val="134"/>
      </rPr>
      <t>肾癌</t>
    </r>
  </si>
  <si>
    <r>
      <rPr>
        <sz val="12"/>
        <color theme="1"/>
        <rFont val="Calibri Light"/>
        <charset val="134"/>
      </rPr>
      <t>Kidney_Chromophobe_</t>
    </r>
    <r>
      <rPr>
        <sz val="12"/>
        <color theme="1"/>
        <rFont val="Adobe 仿宋 Std R"/>
        <charset val="134"/>
      </rPr>
      <t>肾嫌色细胞癌</t>
    </r>
    <r>
      <rPr>
        <sz val="12"/>
        <color theme="1"/>
        <rFont val="Calibri Light"/>
        <charset val="134"/>
      </rPr>
      <t>_KICH</t>
    </r>
  </si>
  <si>
    <r>
      <rPr>
        <sz val="12"/>
        <color theme="1"/>
        <rFont val="Calibri Light"/>
        <charset val="134"/>
      </rPr>
      <t>Kidney_Re_l_Clear_Cell_Carcinoma_</t>
    </r>
    <r>
      <rPr>
        <sz val="12"/>
        <color theme="1"/>
        <rFont val="Adobe 仿宋 Std R"/>
        <charset val="134"/>
      </rPr>
      <t>肾透明细胞癌</t>
    </r>
    <r>
      <rPr>
        <sz val="12"/>
        <color theme="1"/>
        <rFont val="Calibri Light"/>
        <charset val="134"/>
      </rPr>
      <t>_KIRC</t>
    </r>
  </si>
  <si>
    <r>
      <rPr>
        <sz val="12"/>
        <color theme="1"/>
        <rFont val="Calibri Light"/>
        <charset val="134"/>
      </rPr>
      <t>Kidney_Re_l_Papillary_Cell_Carcinoma_</t>
    </r>
    <r>
      <rPr>
        <sz val="12"/>
        <color theme="1"/>
        <rFont val="Adobe 仿宋 Std R"/>
        <charset val="134"/>
      </rPr>
      <t>肾乳头细胞癌</t>
    </r>
    <r>
      <rPr>
        <sz val="12"/>
        <color theme="1"/>
        <rFont val="Calibri Light"/>
        <charset val="134"/>
      </rPr>
      <t>_KIRP</t>
    </r>
  </si>
  <si>
    <r>
      <rPr>
        <sz val="12"/>
        <color theme="1"/>
        <rFont val="Calibri Light"/>
        <charset val="134"/>
      </rPr>
      <t>Leukemia_</t>
    </r>
    <r>
      <rPr>
        <sz val="12"/>
        <color theme="1"/>
        <rFont val="Adobe 仿宋 Std R"/>
        <charset val="134"/>
      </rPr>
      <t>白血病</t>
    </r>
  </si>
  <si>
    <r>
      <rPr>
        <sz val="12"/>
        <color theme="1"/>
        <rFont val="Calibri Light"/>
        <charset val="134"/>
      </rPr>
      <t>Acute_Myeloid_Leukemia_</t>
    </r>
    <r>
      <rPr>
        <sz val="12"/>
        <color theme="1"/>
        <rFont val="Adobe 仿宋 Std R"/>
        <charset val="134"/>
      </rPr>
      <t>急性髓细胞样白血病</t>
    </r>
    <r>
      <rPr>
        <sz val="12"/>
        <color theme="1"/>
        <rFont val="Calibri Light"/>
        <charset val="134"/>
      </rPr>
      <t>_LAML</t>
    </r>
  </si>
  <si>
    <r>
      <rPr>
        <sz val="12"/>
        <color theme="1"/>
        <rFont val="Calibri Light"/>
        <charset val="134"/>
      </rPr>
      <t>Chronic_Myelogenous_Leukemia_</t>
    </r>
    <r>
      <rPr>
        <sz val="12"/>
        <color theme="1"/>
        <rFont val="Adobe 仿宋 Std R"/>
        <charset val="134"/>
      </rPr>
      <t>慢性髓细胞性白血病</t>
    </r>
    <r>
      <rPr>
        <sz val="12"/>
        <color theme="1"/>
        <rFont val="Calibri Light"/>
        <charset val="134"/>
      </rPr>
      <t>_LCML</t>
    </r>
  </si>
  <si>
    <r>
      <rPr>
        <sz val="12"/>
        <color theme="1"/>
        <rFont val="Calibri Light"/>
        <charset val="134"/>
      </rPr>
      <t>Liver_Hepatocellular_Carcinoma_</t>
    </r>
    <r>
      <rPr>
        <sz val="12"/>
        <color theme="1"/>
        <rFont val="Adobe 仿宋 Std R"/>
        <charset val="134"/>
      </rPr>
      <t>肝细胞肝癌</t>
    </r>
    <r>
      <rPr>
        <sz val="12"/>
        <color theme="1"/>
        <rFont val="Calibri Light"/>
        <charset val="134"/>
      </rPr>
      <t>_LIHC</t>
    </r>
  </si>
  <si>
    <r>
      <rPr>
        <sz val="12"/>
        <color theme="1"/>
        <rFont val="Calibri Light"/>
        <charset val="134"/>
      </rPr>
      <t>Melanoma_</t>
    </r>
    <r>
      <rPr>
        <sz val="12"/>
        <color theme="1"/>
        <rFont val="Adobe 仿宋 Std R"/>
        <charset val="134"/>
      </rPr>
      <t>黑色素瘤</t>
    </r>
  </si>
  <si>
    <r>
      <rPr>
        <sz val="12"/>
        <color rgb="FF000000"/>
        <rFont val="Calibri Light"/>
        <charset val="134"/>
      </rPr>
      <t>Skin_Cutaneous_Melanoma_</t>
    </r>
    <r>
      <rPr>
        <sz val="12"/>
        <color rgb="FF000000"/>
        <rFont val="Adobe 仿宋 Std R"/>
        <charset val="134"/>
      </rPr>
      <t>皮肤黑色素瘤</t>
    </r>
    <r>
      <rPr>
        <sz val="12"/>
        <color rgb="FF000000"/>
        <rFont val="Calibri Light"/>
        <charset val="134"/>
      </rPr>
      <t>_SKCM</t>
    </r>
  </si>
  <si>
    <r>
      <rPr>
        <sz val="12"/>
        <color theme="1"/>
        <rFont val="Calibri Light"/>
        <charset val="134"/>
      </rPr>
      <t>Mesothelioma_</t>
    </r>
    <r>
      <rPr>
        <sz val="12"/>
        <color theme="1"/>
        <rFont val="Adobe 仿宋 Std R"/>
        <charset val="134"/>
      </rPr>
      <t>间皮瘤</t>
    </r>
    <r>
      <rPr>
        <sz val="12"/>
        <color theme="1"/>
        <rFont val="Calibri Light"/>
        <charset val="134"/>
      </rPr>
      <t>_MESO</t>
    </r>
  </si>
  <si>
    <r>
      <rPr>
        <sz val="12"/>
        <color theme="1"/>
        <rFont val="Calibri Light"/>
        <charset val="134"/>
      </rPr>
      <t>Nasopharyngeal_Squamous_Cell_Carcinoma_</t>
    </r>
    <r>
      <rPr>
        <sz val="12"/>
        <color theme="1"/>
        <rFont val="Adobe 仿宋 Std R"/>
        <charset val="134"/>
      </rPr>
      <t>鼻咽鳞状细胞癌</t>
    </r>
    <r>
      <rPr>
        <sz val="12"/>
        <color theme="1"/>
        <rFont val="Calibri Light"/>
        <charset val="134"/>
      </rPr>
      <t>_NSCC</t>
    </r>
  </si>
  <si>
    <r>
      <rPr>
        <sz val="12"/>
        <color theme="1"/>
        <rFont val="Calibri Light"/>
        <charset val="134"/>
      </rPr>
      <t>Non_Hodgkin_Lymphoma_</t>
    </r>
    <r>
      <rPr>
        <sz val="12"/>
        <color theme="1"/>
        <rFont val="Adobe 仿宋 Std R"/>
        <charset val="134"/>
      </rPr>
      <t>非霍奇金淋巴瘤</t>
    </r>
    <r>
      <rPr>
        <sz val="12"/>
        <color theme="1"/>
        <rFont val="Calibri Light"/>
        <charset val="134"/>
      </rPr>
      <t>_NHL</t>
    </r>
  </si>
  <si>
    <r>
      <rPr>
        <sz val="12"/>
        <color theme="1"/>
        <rFont val="Calibri Light"/>
        <charset val="134"/>
      </rPr>
      <t>Diffuse_Large_B_cell_Lymphoma_</t>
    </r>
    <r>
      <rPr>
        <sz val="12"/>
        <color theme="1"/>
        <rFont val="Adobe 仿宋 Std R"/>
        <charset val="134"/>
      </rPr>
      <t>弥漫性大</t>
    </r>
    <r>
      <rPr>
        <sz val="12"/>
        <color theme="1"/>
        <rFont val="Calibri Light"/>
        <charset val="134"/>
      </rPr>
      <t>B</t>
    </r>
    <r>
      <rPr>
        <sz val="12"/>
        <color theme="1"/>
        <rFont val="Adobe 仿宋 Std R"/>
        <charset val="134"/>
      </rPr>
      <t>细胞淋巴瘤</t>
    </r>
    <r>
      <rPr>
        <sz val="12"/>
        <color theme="1"/>
        <rFont val="Calibri Light"/>
        <charset val="134"/>
      </rPr>
      <t>_DLBC</t>
    </r>
  </si>
  <si>
    <r>
      <rPr>
        <sz val="12"/>
        <color theme="1"/>
        <rFont val="Calibri Light"/>
        <charset val="134"/>
      </rPr>
      <t>Non_Small_Cell_Lung_Cancer_</t>
    </r>
    <r>
      <rPr>
        <sz val="12"/>
        <color theme="1"/>
        <rFont val="Adobe 仿宋 Std R"/>
        <charset val="134"/>
      </rPr>
      <t>非小细胞肺癌</t>
    </r>
    <r>
      <rPr>
        <sz val="12"/>
        <color theme="1"/>
        <rFont val="Calibri Light"/>
        <charset val="134"/>
      </rPr>
      <t>_NSCLC</t>
    </r>
  </si>
  <si>
    <r>
      <rPr>
        <sz val="12"/>
        <color theme="1"/>
        <rFont val="Calibri Light"/>
        <charset val="134"/>
      </rPr>
      <t>Lung_Adenocarcinoma_</t>
    </r>
    <r>
      <rPr>
        <sz val="12"/>
        <color theme="1"/>
        <rFont val="Adobe 仿宋 Std R"/>
        <charset val="134"/>
      </rPr>
      <t>肺腺癌</t>
    </r>
    <r>
      <rPr>
        <sz val="12"/>
        <color theme="1"/>
        <rFont val="Calibri Light"/>
        <charset val="134"/>
      </rPr>
      <t>_LUAD</t>
    </r>
  </si>
  <si>
    <r>
      <rPr>
        <sz val="12"/>
        <color theme="1"/>
        <rFont val="Calibri Light"/>
        <charset val="134"/>
      </rPr>
      <t>Lung_Squamous_Cell_Carcinoma_</t>
    </r>
    <r>
      <rPr>
        <sz val="12"/>
        <color theme="1"/>
        <rFont val="Adobe 仿宋 Std R"/>
        <charset val="134"/>
      </rPr>
      <t>肺鳞状细胞癌</t>
    </r>
    <r>
      <rPr>
        <sz val="12"/>
        <color theme="1"/>
        <rFont val="Calibri Light"/>
        <charset val="134"/>
      </rPr>
      <t>_LUSC</t>
    </r>
  </si>
  <si>
    <r>
      <rPr>
        <sz val="12"/>
        <color theme="1"/>
        <rFont val="Calibri Light"/>
        <charset val="134"/>
      </rPr>
      <t>Ovarian_Cancer_</t>
    </r>
    <r>
      <rPr>
        <sz val="12"/>
        <color theme="1"/>
        <rFont val="Adobe 仿宋 Std R"/>
        <charset val="134"/>
      </rPr>
      <t>卵巢癌</t>
    </r>
  </si>
  <si>
    <r>
      <rPr>
        <sz val="12"/>
        <color theme="1"/>
        <rFont val="Calibri Light"/>
        <charset val="134"/>
      </rPr>
      <t>Ovarian_Serous_Cystadenocarcinoma_</t>
    </r>
    <r>
      <rPr>
        <sz val="12"/>
        <color theme="1"/>
        <rFont val="Adobe 仿宋 Std R"/>
        <charset val="134"/>
      </rPr>
      <t>卵巢浆液性囊腺癌</t>
    </r>
    <r>
      <rPr>
        <sz val="12"/>
        <color theme="1"/>
        <rFont val="Calibri Light"/>
        <charset val="134"/>
      </rPr>
      <t>_OV</t>
    </r>
  </si>
  <si>
    <r>
      <rPr>
        <sz val="12"/>
        <color theme="1"/>
        <rFont val="Calibri Light"/>
        <charset val="134"/>
      </rPr>
      <t>Pancreatic_Cancer_</t>
    </r>
    <r>
      <rPr>
        <sz val="12"/>
        <color theme="1"/>
        <rFont val="Adobe 仿宋 Std R"/>
        <charset val="134"/>
      </rPr>
      <t>胰腺癌</t>
    </r>
  </si>
  <si>
    <r>
      <rPr>
        <sz val="12"/>
        <color theme="1"/>
        <rFont val="Calibri Light"/>
        <charset val="134"/>
      </rPr>
      <t>Pancreatic_Adenocarcinoma_</t>
    </r>
    <r>
      <rPr>
        <sz val="12"/>
        <color theme="1"/>
        <rFont val="Adobe 仿宋 Std R"/>
        <charset val="134"/>
      </rPr>
      <t>胰腺癌</t>
    </r>
    <r>
      <rPr>
        <sz val="12"/>
        <color theme="1"/>
        <rFont val="Calibri Light"/>
        <charset val="134"/>
      </rPr>
      <t>_PAAD</t>
    </r>
  </si>
  <si>
    <r>
      <rPr>
        <sz val="12"/>
        <color theme="1"/>
        <rFont val="Calibri Light"/>
        <charset val="134"/>
      </rPr>
      <t>Pheochromocytoma_and_Paraganglioma_</t>
    </r>
    <r>
      <rPr>
        <sz val="12"/>
        <color theme="1"/>
        <rFont val="Adobe 仿宋 Std R"/>
        <charset val="134"/>
      </rPr>
      <t>嗜铬细胞瘤与副神经节瘤</t>
    </r>
    <r>
      <rPr>
        <sz val="12"/>
        <color theme="1"/>
        <rFont val="Calibri Light"/>
        <charset val="134"/>
      </rPr>
      <t>_PCPG</t>
    </r>
  </si>
  <si>
    <r>
      <rPr>
        <sz val="12"/>
        <color theme="1"/>
        <rFont val="Calibri Light"/>
        <charset val="134"/>
      </rPr>
      <t>Prostate_Adenocarcinoma_</t>
    </r>
    <r>
      <rPr>
        <sz val="12"/>
        <color theme="1"/>
        <rFont val="Adobe 仿宋 Std R"/>
        <charset val="134"/>
      </rPr>
      <t>前列腺癌</t>
    </r>
    <r>
      <rPr>
        <sz val="12"/>
        <color theme="1"/>
        <rFont val="Calibri Light"/>
        <charset val="134"/>
      </rPr>
      <t>_PRAD</t>
    </r>
  </si>
  <si>
    <r>
      <rPr>
        <sz val="12"/>
        <color theme="1"/>
        <rFont val="Calibri Light"/>
        <charset val="134"/>
      </rPr>
      <t>Rectum_Cancer_</t>
    </r>
    <r>
      <rPr>
        <sz val="12"/>
        <color theme="1"/>
        <rFont val="Adobe 仿宋 Std R"/>
        <charset val="134"/>
      </rPr>
      <t>直肠癌</t>
    </r>
  </si>
  <si>
    <r>
      <rPr>
        <sz val="12"/>
        <color theme="1"/>
        <rFont val="Calibri Light"/>
        <charset val="134"/>
      </rPr>
      <t>Rectum_Adenocarcinoma_</t>
    </r>
    <r>
      <rPr>
        <sz val="12"/>
        <color theme="1"/>
        <rFont val="Adobe 仿宋 Std R"/>
        <charset val="134"/>
      </rPr>
      <t>直肠腺癌</t>
    </r>
    <r>
      <rPr>
        <sz val="12"/>
        <color theme="1"/>
        <rFont val="Calibri Light"/>
        <charset val="134"/>
      </rPr>
      <t>_READ</t>
    </r>
  </si>
  <si>
    <r>
      <rPr>
        <sz val="12"/>
        <color theme="1"/>
        <rFont val="Calibri Light"/>
        <charset val="134"/>
      </rPr>
      <t>Sarcoma_</t>
    </r>
    <r>
      <rPr>
        <sz val="12"/>
        <color theme="1"/>
        <rFont val="Adobe 仿宋 Std R"/>
        <charset val="134"/>
      </rPr>
      <t>肉瘤</t>
    </r>
    <r>
      <rPr>
        <sz val="12"/>
        <color theme="1"/>
        <rFont val="Calibri Light"/>
        <charset val="134"/>
      </rPr>
      <t>_SARC</t>
    </r>
  </si>
  <si>
    <r>
      <rPr>
        <sz val="12"/>
        <color theme="1"/>
        <rFont val="Calibri Light"/>
        <charset val="134"/>
      </rPr>
      <t>Skin_Malignancy_</t>
    </r>
    <r>
      <rPr>
        <sz val="12"/>
        <color theme="1"/>
        <rFont val="Adobe 仿宋 Std R"/>
        <charset val="134"/>
      </rPr>
      <t>皮肤恶性肿瘤</t>
    </r>
  </si>
  <si>
    <r>
      <rPr>
        <sz val="12"/>
        <color theme="1"/>
        <rFont val="Calibri Light"/>
        <charset val="134"/>
      </rPr>
      <t>Skin_Squamous_cell_carcinoma_</t>
    </r>
    <r>
      <rPr>
        <sz val="12"/>
        <color theme="1"/>
        <rFont val="Adobe 仿宋 Std R"/>
        <charset val="134"/>
      </rPr>
      <t>皮肤鳞状细胞癌</t>
    </r>
    <r>
      <rPr>
        <sz val="12"/>
        <color theme="1"/>
        <rFont val="Calibri Light"/>
        <charset val="134"/>
      </rPr>
      <t>_SSCC</t>
    </r>
  </si>
  <si>
    <r>
      <rPr>
        <sz val="12"/>
        <color theme="1"/>
        <rFont val="Calibri Light"/>
        <charset val="134"/>
      </rPr>
      <t>Skin_Basal_cell_carcinoma_</t>
    </r>
    <r>
      <rPr>
        <sz val="12"/>
        <color theme="1"/>
        <rFont val="Adobe 仿宋 Std R"/>
        <charset val="134"/>
      </rPr>
      <t>皮肤基底细胞癌</t>
    </r>
    <r>
      <rPr>
        <sz val="12"/>
        <color theme="1"/>
        <rFont val="Calibri Light"/>
        <charset val="134"/>
      </rPr>
      <t>_SBCC</t>
    </r>
  </si>
  <si>
    <r>
      <rPr>
        <sz val="12"/>
        <color theme="1"/>
        <rFont val="Calibri Light"/>
        <charset val="134"/>
      </rPr>
      <t>Small_Cell_Lung_Cancer_</t>
    </r>
    <r>
      <rPr>
        <sz val="12"/>
        <color theme="1"/>
        <rFont val="Adobe 仿宋 Std R"/>
        <charset val="134"/>
      </rPr>
      <t>小细胞肺癌</t>
    </r>
    <r>
      <rPr>
        <sz val="12"/>
        <color theme="1"/>
        <rFont val="Calibri Light"/>
        <charset val="134"/>
      </rPr>
      <t>_SCLC</t>
    </r>
  </si>
  <si>
    <r>
      <rPr>
        <sz val="12"/>
        <color theme="1"/>
        <rFont val="Calibri Light"/>
        <charset val="134"/>
      </rPr>
      <t>Stomach_Cancer_</t>
    </r>
    <r>
      <rPr>
        <sz val="12"/>
        <color theme="1"/>
        <rFont val="Adobe 仿宋 Std R"/>
        <charset val="134"/>
      </rPr>
      <t>胃癌</t>
    </r>
  </si>
  <si>
    <r>
      <rPr>
        <sz val="12"/>
        <color theme="1"/>
        <rFont val="Calibri Light"/>
        <charset val="134"/>
      </rPr>
      <t>Stomach_Adenocarcinoma_</t>
    </r>
    <r>
      <rPr>
        <sz val="12"/>
        <color theme="1"/>
        <rFont val="Adobe 仿宋 Std R"/>
        <charset val="134"/>
      </rPr>
      <t>胃腺癌</t>
    </r>
    <r>
      <rPr>
        <sz val="12"/>
        <color theme="1"/>
        <rFont val="Calibri Light"/>
        <charset val="134"/>
      </rPr>
      <t>_STAD</t>
    </r>
  </si>
  <si>
    <r>
      <rPr>
        <sz val="12"/>
        <color theme="1"/>
        <rFont val="Calibri Light"/>
        <charset val="134"/>
      </rPr>
      <t>Testicular_Germ_Cell_Tumors_</t>
    </r>
    <r>
      <rPr>
        <sz val="12"/>
        <color theme="1"/>
        <rFont val="Adobe 仿宋 Std R"/>
        <charset val="134"/>
      </rPr>
      <t>睾丸生殖细胞瘤</t>
    </r>
    <r>
      <rPr>
        <sz val="12"/>
        <color theme="1"/>
        <rFont val="Calibri Light"/>
        <charset val="134"/>
      </rPr>
      <t>_TGCT</t>
    </r>
  </si>
  <si>
    <r>
      <rPr>
        <sz val="12"/>
        <color theme="1"/>
        <rFont val="Calibri Light"/>
        <charset val="134"/>
      </rPr>
      <t>Thymoma_</t>
    </r>
    <r>
      <rPr>
        <sz val="12"/>
        <color theme="1"/>
        <rFont val="Adobe 仿宋 Std R"/>
        <charset val="134"/>
      </rPr>
      <t>胸腺瘤</t>
    </r>
    <r>
      <rPr>
        <sz val="12"/>
        <color theme="1"/>
        <rFont val="Calibri Light"/>
        <charset val="134"/>
      </rPr>
      <t>_THYM</t>
    </r>
  </si>
  <si>
    <r>
      <rPr>
        <sz val="12"/>
        <color theme="1"/>
        <rFont val="Calibri Light"/>
        <charset val="134"/>
      </rPr>
      <t>Thyroid_Carcinoma_</t>
    </r>
    <r>
      <rPr>
        <sz val="12"/>
        <color theme="1"/>
        <rFont val="Adobe 仿宋 Std R"/>
        <charset val="134"/>
      </rPr>
      <t>甲状腺癌</t>
    </r>
    <r>
      <rPr>
        <sz val="12"/>
        <color theme="1"/>
        <rFont val="Calibri Light"/>
        <charset val="134"/>
      </rPr>
      <t>_THCA</t>
    </r>
  </si>
  <si>
    <r>
      <rPr>
        <sz val="12"/>
        <color theme="1"/>
        <rFont val="Calibri Light"/>
        <charset val="134"/>
      </rPr>
      <t>Uterine_Carcinosarcoma_</t>
    </r>
    <r>
      <rPr>
        <sz val="12"/>
        <color theme="1"/>
        <rFont val="Adobe 仿宋 Std R"/>
        <charset val="134"/>
      </rPr>
      <t>子宫癌肉瘤</t>
    </r>
    <r>
      <rPr>
        <sz val="12"/>
        <color theme="1"/>
        <rFont val="Calibri Light"/>
        <charset val="134"/>
      </rPr>
      <t>_UCS</t>
    </r>
  </si>
  <si>
    <r>
      <rPr>
        <sz val="12"/>
        <color theme="1"/>
        <rFont val="Calibri Light"/>
        <charset val="134"/>
      </rPr>
      <t>Uterine_Corpus_Endometrial_Carcinoma_</t>
    </r>
    <r>
      <rPr>
        <sz val="12"/>
        <color theme="1"/>
        <rFont val="Adobe 仿宋 Std R"/>
        <charset val="134"/>
      </rPr>
      <t>子宫内膜癌</t>
    </r>
    <r>
      <rPr>
        <sz val="12"/>
        <color theme="1"/>
        <rFont val="Calibri Light"/>
        <charset val="134"/>
      </rPr>
      <t>_UCEC</t>
    </r>
  </si>
  <si>
    <r>
      <rPr>
        <sz val="12"/>
        <color theme="1"/>
        <rFont val="Calibri Light"/>
        <charset val="134"/>
      </rPr>
      <t>Uveal_Melanoma_</t>
    </r>
    <r>
      <rPr>
        <sz val="12"/>
        <color theme="1"/>
        <rFont val="Adobe 仿宋 Std R"/>
        <charset val="134"/>
      </rPr>
      <t>葡萄膜黑色素瘤</t>
    </r>
    <r>
      <rPr>
        <sz val="12"/>
        <color theme="1"/>
        <rFont val="Calibri Light"/>
        <charset val="134"/>
      </rPr>
      <t>_UVM</t>
    </r>
  </si>
  <si>
    <t>animal_model</t>
  </si>
  <si>
    <t>others</t>
  </si>
  <si>
    <t>sensitive</t>
  </si>
  <si>
    <t>resistant</t>
  </si>
  <si>
    <t>intermediate</t>
  </si>
  <si>
    <t>non_coding_RNA_level</t>
  </si>
  <si>
    <t>somatic_mutation</t>
  </si>
  <si>
    <t>DNA_methylation</t>
  </si>
  <si>
    <r>
      <rPr>
        <sz val="12"/>
        <color theme="1"/>
        <rFont val="Calibri Light"/>
        <charset val="134"/>
      </rPr>
      <t xml:space="preserve">2.4 </t>
    </r>
    <r>
      <rPr>
        <sz val="12"/>
        <color theme="1"/>
        <rFont val="Adobe 仿宋 Std R"/>
        <charset val="134"/>
      </rPr>
      <t>基因名称及</t>
    </r>
    <r>
      <rPr>
        <sz val="12"/>
        <color theme="1"/>
        <rFont val="Calibri Light"/>
        <charset val="134"/>
      </rPr>
      <t>ID</t>
    </r>
  </si>
  <si>
    <r>
      <rPr>
        <sz val="12"/>
        <color theme="1"/>
        <rFont val="Calibri Light"/>
        <charset val="134"/>
      </rPr>
      <t>others[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</si>
</sst>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2"/>
      <color theme="1"/>
      <name val="等线"/>
      <charset val="134"/>
      <scheme val="minor"/>
    </font>
    <font>
      <sz val="12"/>
      <color theme="1"/>
      <name val="Calibri Light"/>
      <charset val="134"/>
    </font>
    <font>
      <sz val="12"/>
      <color rgb="FF000000"/>
      <name val="Calibri Light"/>
      <charset val="134"/>
    </font>
    <font>
      <sz val="12"/>
      <color theme="1"/>
      <name val="宋体"/>
      <charset val="134"/>
    </font>
    <font>
      <sz val="12"/>
      <color theme="1"/>
      <name val="Adobe 仿宋 Std R"/>
      <charset val="134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2"/>
      <color rgb="FF000000"/>
      <name val="Adobe 仿宋 Std R"/>
      <charset val="134"/>
    </font>
  </fonts>
  <fills count="33">
    <fill>
      <patternFill patternType="none"/>
    </fill>
    <fill>
      <patternFill patternType="gray125"/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8" fillId="0" borderId="0" applyFont="0" applyFill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8" fillId="19" borderId="12" applyNumberFormat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28" borderId="19" applyNumberFormat="0" applyFont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0" fillId="0" borderId="13" applyNumberFormat="0" applyFill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6" fillId="4" borderId="16" applyNumberFormat="0" applyAlignment="0" applyProtection="0">
      <alignment vertical="center"/>
    </xf>
    <xf numFmtId="0" fontId="6" fillId="4" borderId="12" applyNumberFormat="0" applyAlignment="0" applyProtection="0">
      <alignment vertical="center"/>
    </xf>
    <xf numFmtId="0" fontId="19" fillId="23" borderId="17" applyNumberFormat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3" fillId="0" borderId="14" applyNumberFormat="0" applyFill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1" fillId="0" borderId="0" xfId="0" applyFont="1">
      <alignment vertical="center"/>
    </xf>
    <xf numFmtId="0" fontId="1" fillId="0" borderId="0" xfId="0" applyFont="1" applyBorder="1">
      <alignment vertical="center"/>
    </xf>
    <xf numFmtId="0" fontId="1" fillId="0" borderId="1" xfId="0" applyFont="1" applyBorder="1">
      <alignment vertical="center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4" xfId="0" applyFont="1" applyBorder="1">
      <alignment vertical="center"/>
    </xf>
    <xf numFmtId="0" fontId="1" fillId="0" borderId="5" xfId="0" applyFont="1" applyBorder="1">
      <alignment vertical="center"/>
    </xf>
    <xf numFmtId="0" fontId="2" fillId="0" borderId="0" xfId="0" applyFont="1" applyBorder="1">
      <alignment vertical="center"/>
    </xf>
    <xf numFmtId="0" fontId="1" fillId="0" borderId="6" xfId="0" applyFont="1" applyBorder="1">
      <alignment vertical="center"/>
    </xf>
    <xf numFmtId="0" fontId="1" fillId="0" borderId="7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9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11" xfId="0" applyFont="1" applyBorder="1">
      <alignment vertical="center"/>
    </xf>
    <xf numFmtId="0" fontId="1" fillId="0" borderId="0" xfId="0" applyFont="1" applyBorder="1" applyProtection="1">
      <alignment vertical="center"/>
      <protection hidden="1"/>
    </xf>
    <xf numFmtId="0" fontId="1" fillId="0" borderId="0" xfId="0" applyFont="1" applyBorder="1" applyAlignment="1" applyProtection="1">
      <alignment vertical="center" wrapText="1"/>
      <protection hidden="1"/>
    </xf>
    <xf numFmtId="0" fontId="1" fillId="0" borderId="0" xfId="0" applyFont="1" applyBorder="1" applyAlignment="1" applyProtection="1">
      <alignment horizontal="left" vertical="center" indent="1"/>
      <protection hidden="1"/>
    </xf>
    <xf numFmtId="49" fontId="1" fillId="0" borderId="0" xfId="0" applyNumberFormat="1" applyFont="1" applyBorder="1" applyAlignment="1" applyProtection="1">
      <alignment horizontal="left" vertical="top" wrapText="1"/>
      <protection hidden="1"/>
    </xf>
    <xf numFmtId="49" fontId="1" fillId="0" borderId="0" xfId="0" applyNumberFormat="1" applyFont="1" applyBorder="1" applyAlignment="1" applyProtection="1">
      <alignment horizontal="left" vertical="center"/>
      <protection hidden="1"/>
    </xf>
    <xf numFmtId="49" fontId="1" fillId="0" borderId="0" xfId="0" applyNumberFormat="1" applyFont="1" applyBorder="1" applyAlignment="1" applyProtection="1">
      <alignment horizontal="left" vertical="top"/>
      <protection hidden="1"/>
    </xf>
    <xf numFmtId="22" fontId="1" fillId="0" borderId="0" xfId="0" applyNumberFormat="1" applyFont="1" applyBorder="1" applyAlignment="1" applyProtection="1">
      <alignment horizontal="left" vertical="center"/>
      <protection hidden="1"/>
    </xf>
    <xf numFmtId="0" fontId="1" fillId="0" borderId="0" xfId="0" applyFont="1" applyBorder="1" applyAlignment="1" applyProtection="1">
      <alignment horizontal="left" vertical="center"/>
      <protection hidden="1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 applyProtection="1">
      <alignment horizontal="center" vertical="center" wrapText="1"/>
      <protection hidden="1"/>
    </xf>
    <xf numFmtId="49" fontId="1" fillId="0" borderId="0" xfId="0" applyNumberFormat="1" applyFont="1" applyBorder="1" applyAlignment="1" applyProtection="1">
      <alignment horizontal="left" vertical="top" wrapText="1"/>
      <protection locked="0"/>
    </xf>
    <xf numFmtId="49" fontId="1" fillId="0" borderId="0" xfId="0" applyNumberFormat="1" applyFont="1" applyAlignment="1">
      <alignment horizontal="left" vertical="top" wrapText="1"/>
    </xf>
    <xf numFmtId="49" fontId="1" fillId="0" borderId="0" xfId="0" applyNumberFormat="1" applyFont="1" applyBorder="1" applyAlignment="1" applyProtection="1">
      <alignment horizontal="left" vertical="center"/>
      <protection locked="0"/>
    </xf>
    <xf numFmtId="49" fontId="1" fillId="0" borderId="0" xfId="0" applyNumberFormat="1" applyFont="1">
      <alignment vertical="center"/>
    </xf>
    <xf numFmtId="0" fontId="1" fillId="0" borderId="0" xfId="0" applyFont="1" applyBorder="1" applyAlignment="1" applyProtection="1">
      <alignment horizontal="left" vertical="top"/>
      <protection hidden="1"/>
    </xf>
    <xf numFmtId="49" fontId="1" fillId="0" borderId="0" xfId="0" applyNumberFormat="1" applyFont="1" applyAlignment="1">
      <alignment horizontal="left" vertical="top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alignment vertical="center"/>
      <protection hidden="1"/>
    </xf>
    <xf numFmtId="22" fontId="1" fillId="0" borderId="0" xfId="0" applyNumberFormat="1" applyFont="1" applyBorder="1" applyAlignment="1" applyProtection="1">
      <alignment horizontal="left" vertical="center"/>
      <protection locked="0"/>
    </xf>
    <xf numFmtId="22" fontId="1" fillId="0" borderId="0" xfId="0" applyNumberFormat="1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9" Type="http://schemas.openxmlformats.org/officeDocument/2006/relationships/image" Target="../media/image49.wmf"/><Relationship Id="rId48" Type="http://schemas.openxmlformats.org/officeDocument/2006/relationships/image" Target="../media/image48.wmf"/><Relationship Id="rId47" Type="http://schemas.openxmlformats.org/officeDocument/2006/relationships/image" Target="../media/image47.wmf"/><Relationship Id="rId46" Type="http://schemas.openxmlformats.org/officeDocument/2006/relationships/image" Target="../media/image46.wmf"/><Relationship Id="rId45" Type="http://schemas.openxmlformats.org/officeDocument/2006/relationships/image" Target="../media/image45.wmf"/><Relationship Id="rId44" Type="http://schemas.openxmlformats.org/officeDocument/2006/relationships/image" Target="../media/image44.wmf"/><Relationship Id="rId43" Type="http://schemas.openxmlformats.org/officeDocument/2006/relationships/image" Target="../media/image43.wmf"/><Relationship Id="rId42" Type="http://schemas.openxmlformats.org/officeDocument/2006/relationships/image" Target="../media/image42.wmf"/><Relationship Id="rId41" Type="http://schemas.openxmlformats.org/officeDocument/2006/relationships/image" Target="../media/image41.wmf"/><Relationship Id="rId40" Type="http://schemas.openxmlformats.org/officeDocument/2006/relationships/image" Target="../media/image40.wmf"/><Relationship Id="rId4" Type="http://schemas.openxmlformats.org/officeDocument/2006/relationships/image" Target="../media/image4.wmf"/><Relationship Id="rId39" Type="http://schemas.openxmlformats.org/officeDocument/2006/relationships/image" Target="../media/image39.wmf"/><Relationship Id="rId38" Type="http://schemas.openxmlformats.org/officeDocument/2006/relationships/image" Target="../media/image38.wmf"/><Relationship Id="rId37" Type="http://schemas.openxmlformats.org/officeDocument/2006/relationships/image" Target="../media/image37.wmf"/><Relationship Id="rId36" Type="http://schemas.openxmlformats.org/officeDocument/2006/relationships/image" Target="../media/image36.wmf"/><Relationship Id="rId35" Type="http://schemas.openxmlformats.org/officeDocument/2006/relationships/image" Target="../media/image35.wmf"/><Relationship Id="rId34" Type="http://schemas.openxmlformats.org/officeDocument/2006/relationships/image" Target="../media/image34.wmf"/><Relationship Id="rId33" Type="http://schemas.openxmlformats.org/officeDocument/2006/relationships/image" Target="../media/image33.wmf"/><Relationship Id="rId32" Type="http://schemas.openxmlformats.org/officeDocument/2006/relationships/image" Target="../media/image32.wmf"/><Relationship Id="rId31" Type="http://schemas.openxmlformats.org/officeDocument/2006/relationships/image" Target="../media/image31.wmf"/><Relationship Id="rId30" Type="http://schemas.openxmlformats.org/officeDocument/2006/relationships/image" Target="../media/image30.wmf"/><Relationship Id="rId3" Type="http://schemas.openxmlformats.org/officeDocument/2006/relationships/image" Target="../media/image3.wmf"/><Relationship Id="rId29" Type="http://schemas.openxmlformats.org/officeDocument/2006/relationships/image" Target="../media/image29.wmf"/><Relationship Id="rId28" Type="http://schemas.openxmlformats.org/officeDocument/2006/relationships/image" Target="../media/image28.wmf"/><Relationship Id="rId27" Type="http://schemas.openxmlformats.org/officeDocument/2006/relationships/image" Target="../media/image27.wmf"/><Relationship Id="rId26" Type="http://schemas.openxmlformats.org/officeDocument/2006/relationships/image" Target="../media/image26.wmf"/><Relationship Id="rId25" Type="http://schemas.openxmlformats.org/officeDocument/2006/relationships/image" Target="../media/image25.wmf"/><Relationship Id="rId24" Type="http://schemas.openxmlformats.org/officeDocument/2006/relationships/image" Target="../media/image24.wmf"/><Relationship Id="rId23" Type="http://schemas.openxmlformats.org/officeDocument/2006/relationships/image" Target="../media/image23.wmf"/><Relationship Id="rId22" Type="http://schemas.openxmlformats.org/officeDocument/2006/relationships/image" Target="../media/image22.wmf"/><Relationship Id="rId21" Type="http://schemas.openxmlformats.org/officeDocument/2006/relationships/image" Target="../media/image21.wmf"/><Relationship Id="rId20" Type="http://schemas.openxmlformats.org/officeDocument/2006/relationships/image" Target="../media/image20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1135380</xdr:colOff>
          <xdr:row>20</xdr:row>
          <xdr:rowOff>22860</xdr:rowOff>
        </xdr:from>
        <xdr:to>
          <xdr:col>3</xdr:col>
          <xdr:colOff>2141220</xdr:colOff>
          <xdr:row>21</xdr:row>
          <xdr:rowOff>182880</xdr:rowOff>
        </xdr:to>
        <xdr:sp macro="[0]!清除样卷内容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3352800" y="5796915"/>
              <a:ext cx="10058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清除样卷内容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20</xdr:row>
          <xdr:rowOff>22860</xdr:rowOff>
        </xdr:from>
        <xdr:to>
          <xdr:col>3</xdr:col>
          <xdr:colOff>1059180</xdr:colOff>
          <xdr:row>21</xdr:row>
          <xdr:rowOff>182880</xdr:rowOff>
        </xdr:to>
        <xdr:sp macro="[0]!输入当前时间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2270760" y="5796915"/>
              <a:ext cx="10058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输入当前时间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1074420</xdr:colOff>
          <xdr:row>18</xdr:row>
          <xdr:rowOff>7620</xdr:rowOff>
        </xdr:from>
        <xdr:to>
          <xdr:col>4</xdr:col>
          <xdr:colOff>2080260</xdr:colOff>
          <xdr:row>19</xdr:row>
          <xdr:rowOff>167640</xdr:rowOff>
        </xdr:to>
        <xdr:sp>
          <xdr:nvSpPr>
            <xdr:cNvPr id="1060" name="CommandButton1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639318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2095500</xdr:colOff>
          <xdr:row>18</xdr:row>
          <xdr:rowOff>7620</xdr:rowOff>
        </xdr:from>
        <xdr:to>
          <xdr:col>5</xdr:col>
          <xdr:colOff>0</xdr:colOff>
          <xdr:row>19</xdr:row>
          <xdr:rowOff>167640</xdr:rowOff>
        </xdr:to>
        <xdr:sp>
          <xdr:nvSpPr>
            <xdr:cNvPr id="1061" name="CommandButton1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741426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20</xdr:row>
          <xdr:rowOff>22860</xdr:rowOff>
        </xdr:from>
        <xdr:to>
          <xdr:col>4</xdr:col>
          <xdr:colOff>1036320</xdr:colOff>
          <xdr:row>21</xdr:row>
          <xdr:rowOff>182880</xdr:rowOff>
        </xdr:to>
        <xdr:sp>
          <xdr:nvSpPr>
            <xdr:cNvPr id="1062" name="ToggleButton11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5349240" y="579691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20</xdr:row>
          <xdr:rowOff>22860</xdr:rowOff>
        </xdr:from>
        <xdr:to>
          <xdr:col>4</xdr:col>
          <xdr:colOff>2072640</xdr:colOff>
          <xdr:row>21</xdr:row>
          <xdr:rowOff>182880</xdr:rowOff>
        </xdr:to>
        <xdr:sp>
          <xdr:nvSpPr>
            <xdr:cNvPr id="1063" name="ToggleButton12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6385560" y="579691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18</xdr:row>
          <xdr:rowOff>7620</xdr:rowOff>
        </xdr:from>
        <xdr:to>
          <xdr:col>4</xdr:col>
          <xdr:colOff>1051560</xdr:colOff>
          <xdr:row>19</xdr:row>
          <xdr:rowOff>167640</xdr:rowOff>
        </xdr:to>
        <xdr:sp>
          <xdr:nvSpPr>
            <xdr:cNvPr id="1069" name="CommandButton11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536448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18</xdr:row>
          <xdr:rowOff>15240</xdr:rowOff>
        </xdr:from>
        <xdr:to>
          <xdr:col>1</xdr:col>
          <xdr:colOff>1485900</xdr:colOff>
          <xdr:row>19</xdr:row>
          <xdr:rowOff>175260</xdr:rowOff>
        </xdr:to>
        <xdr:sp>
          <xdr:nvSpPr>
            <xdr:cNvPr id="1071" name="CommandButton01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746760" y="5389245"/>
              <a:ext cx="144018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2202180</xdr:colOff>
          <xdr:row>20</xdr:row>
          <xdr:rowOff>22860</xdr:rowOff>
        </xdr:from>
        <xdr:to>
          <xdr:col>3</xdr:col>
          <xdr:colOff>3017520</xdr:colOff>
          <xdr:row>21</xdr:row>
          <xdr:rowOff>182880</xdr:rowOff>
        </xdr:to>
        <xdr:sp macro="[0]!刷新记录序列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4419600" y="5796915"/>
              <a:ext cx="8153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刷新编号编号刷新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7620</xdr:rowOff>
        </xdr:from>
        <xdr:to>
          <xdr:col>5</xdr:col>
          <xdr:colOff>1043940</xdr:colOff>
          <xdr:row>19</xdr:row>
          <xdr:rowOff>167640</xdr:rowOff>
        </xdr:to>
        <xdr:sp>
          <xdr:nvSpPr>
            <xdr:cNvPr id="1074" name="CommandButton21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845820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1059180</xdr:colOff>
          <xdr:row>18</xdr:row>
          <xdr:rowOff>7620</xdr:rowOff>
        </xdr:from>
        <xdr:to>
          <xdr:col>5</xdr:col>
          <xdr:colOff>2065020</xdr:colOff>
          <xdr:row>19</xdr:row>
          <xdr:rowOff>167640</xdr:rowOff>
        </xdr:to>
        <xdr:sp>
          <xdr:nvSpPr>
            <xdr:cNvPr id="1075" name="CommandButton22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947928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2087880</xdr:colOff>
          <xdr:row>18</xdr:row>
          <xdr:rowOff>7620</xdr:rowOff>
        </xdr:from>
        <xdr:to>
          <xdr:col>5</xdr:col>
          <xdr:colOff>3093720</xdr:colOff>
          <xdr:row>19</xdr:row>
          <xdr:rowOff>167640</xdr:rowOff>
        </xdr:to>
        <xdr:sp>
          <xdr:nvSpPr>
            <xdr:cNvPr id="1076" name="CommandButton23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1050798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30480</xdr:rowOff>
        </xdr:from>
        <xdr:to>
          <xdr:col>5</xdr:col>
          <xdr:colOff>1043940</xdr:colOff>
          <xdr:row>21</xdr:row>
          <xdr:rowOff>190500</xdr:rowOff>
        </xdr:to>
        <xdr:sp>
          <xdr:nvSpPr>
            <xdr:cNvPr id="1078" name="ToggleButton2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845820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1059180</xdr:colOff>
          <xdr:row>20</xdr:row>
          <xdr:rowOff>30480</xdr:rowOff>
        </xdr:from>
        <xdr:to>
          <xdr:col>5</xdr:col>
          <xdr:colOff>2065020</xdr:colOff>
          <xdr:row>21</xdr:row>
          <xdr:rowOff>190500</xdr:rowOff>
        </xdr:to>
        <xdr:sp>
          <xdr:nvSpPr>
            <xdr:cNvPr id="1079" name="ToggleButton22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947928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18</xdr:row>
          <xdr:rowOff>7620</xdr:rowOff>
        </xdr:from>
        <xdr:to>
          <xdr:col>6</xdr:col>
          <xdr:colOff>1043940</xdr:colOff>
          <xdr:row>19</xdr:row>
          <xdr:rowOff>167640</xdr:rowOff>
        </xdr:to>
        <xdr:sp>
          <xdr:nvSpPr>
            <xdr:cNvPr id="1081" name="CommandButton31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115595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18</xdr:row>
          <xdr:rowOff>7620</xdr:rowOff>
        </xdr:from>
        <xdr:to>
          <xdr:col>6</xdr:col>
          <xdr:colOff>2072640</xdr:colOff>
          <xdr:row>19</xdr:row>
          <xdr:rowOff>167640</xdr:rowOff>
        </xdr:to>
        <xdr:sp>
          <xdr:nvSpPr>
            <xdr:cNvPr id="1082" name="CommandButton32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125882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2087880</xdr:colOff>
          <xdr:row>18</xdr:row>
          <xdr:rowOff>7620</xdr:rowOff>
        </xdr:from>
        <xdr:to>
          <xdr:col>6</xdr:col>
          <xdr:colOff>3093720</xdr:colOff>
          <xdr:row>19</xdr:row>
          <xdr:rowOff>167640</xdr:rowOff>
        </xdr:to>
        <xdr:sp>
          <xdr:nvSpPr>
            <xdr:cNvPr id="1083" name="CommandButton33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1360932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20</xdr:row>
          <xdr:rowOff>30480</xdr:rowOff>
        </xdr:from>
        <xdr:to>
          <xdr:col>6</xdr:col>
          <xdr:colOff>1036320</xdr:colOff>
          <xdr:row>21</xdr:row>
          <xdr:rowOff>190500</xdr:rowOff>
        </xdr:to>
        <xdr:sp>
          <xdr:nvSpPr>
            <xdr:cNvPr id="1084" name="ToggleButton31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1155192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1051560</xdr:colOff>
          <xdr:row>20</xdr:row>
          <xdr:rowOff>30480</xdr:rowOff>
        </xdr:from>
        <xdr:to>
          <xdr:col>6</xdr:col>
          <xdr:colOff>2057400</xdr:colOff>
          <xdr:row>21</xdr:row>
          <xdr:rowOff>190500</xdr:rowOff>
        </xdr:to>
        <xdr:sp>
          <xdr:nvSpPr>
            <xdr:cNvPr id="1085" name="ToggleButton32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1257300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18</xdr:row>
          <xdr:rowOff>7620</xdr:rowOff>
        </xdr:from>
        <xdr:to>
          <xdr:col>7</xdr:col>
          <xdr:colOff>1021080</xdr:colOff>
          <xdr:row>19</xdr:row>
          <xdr:rowOff>167640</xdr:rowOff>
        </xdr:to>
        <xdr:sp>
          <xdr:nvSpPr>
            <xdr:cNvPr id="1086" name="CommandButton4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1463802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18</xdr:row>
          <xdr:rowOff>7620</xdr:rowOff>
        </xdr:from>
        <xdr:to>
          <xdr:col>7</xdr:col>
          <xdr:colOff>2034540</xdr:colOff>
          <xdr:row>19</xdr:row>
          <xdr:rowOff>167640</xdr:rowOff>
        </xdr:to>
        <xdr:sp>
          <xdr:nvSpPr>
            <xdr:cNvPr id="1087" name="CommandButton4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1565148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2057400</xdr:colOff>
          <xdr:row>18</xdr:row>
          <xdr:rowOff>7620</xdr:rowOff>
        </xdr:from>
        <xdr:to>
          <xdr:col>7</xdr:col>
          <xdr:colOff>3063240</xdr:colOff>
          <xdr:row>19</xdr:row>
          <xdr:rowOff>167640</xdr:rowOff>
        </xdr:to>
        <xdr:sp>
          <xdr:nvSpPr>
            <xdr:cNvPr id="1088" name="CommandButton4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1668018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20</xdr:row>
          <xdr:rowOff>30480</xdr:rowOff>
        </xdr:from>
        <xdr:to>
          <xdr:col>7</xdr:col>
          <xdr:colOff>1028700</xdr:colOff>
          <xdr:row>21</xdr:row>
          <xdr:rowOff>190500</xdr:rowOff>
        </xdr:to>
        <xdr:sp>
          <xdr:nvSpPr>
            <xdr:cNvPr id="1089" name="ToggleButton41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1464564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20</xdr:row>
          <xdr:rowOff>30480</xdr:rowOff>
        </xdr:from>
        <xdr:to>
          <xdr:col>7</xdr:col>
          <xdr:colOff>2034540</xdr:colOff>
          <xdr:row>21</xdr:row>
          <xdr:rowOff>190500</xdr:rowOff>
        </xdr:to>
        <xdr:sp>
          <xdr:nvSpPr>
            <xdr:cNvPr id="1090" name="ToggleButton42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1565148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18</xdr:row>
          <xdr:rowOff>7620</xdr:rowOff>
        </xdr:from>
        <xdr:to>
          <xdr:col>8</xdr:col>
          <xdr:colOff>1036320</xdr:colOff>
          <xdr:row>19</xdr:row>
          <xdr:rowOff>167640</xdr:rowOff>
        </xdr:to>
        <xdr:sp>
          <xdr:nvSpPr>
            <xdr:cNvPr id="1091" name="CommandButton5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1775460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1059180</xdr:colOff>
          <xdr:row>18</xdr:row>
          <xdr:rowOff>7620</xdr:rowOff>
        </xdr:from>
        <xdr:to>
          <xdr:col>8</xdr:col>
          <xdr:colOff>2065020</xdr:colOff>
          <xdr:row>19</xdr:row>
          <xdr:rowOff>167640</xdr:rowOff>
        </xdr:to>
        <xdr:sp>
          <xdr:nvSpPr>
            <xdr:cNvPr id="1092" name="CommandButton5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1878330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2087880</xdr:colOff>
          <xdr:row>18</xdr:row>
          <xdr:rowOff>7620</xdr:rowOff>
        </xdr:from>
        <xdr:to>
          <xdr:col>8</xdr:col>
          <xdr:colOff>3093720</xdr:colOff>
          <xdr:row>19</xdr:row>
          <xdr:rowOff>167640</xdr:rowOff>
        </xdr:to>
        <xdr:sp>
          <xdr:nvSpPr>
            <xdr:cNvPr id="1093" name="CommandButton53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1981200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30480</xdr:rowOff>
        </xdr:from>
        <xdr:to>
          <xdr:col>8</xdr:col>
          <xdr:colOff>1043940</xdr:colOff>
          <xdr:row>21</xdr:row>
          <xdr:rowOff>190500</xdr:rowOff>
        </xdr:to>
        <xdr:sp>
          <xdr:nvSpPr>
            <xdr:cNvPr id="1094" name="ToggleButton51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1776222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20</xdr:row>
          <xdr:rowOff>30480</xdr:rowOff>
        </xdr:from>
        <xdr:to>
          <xdr:col>8</xdr:col>
          <xdr:colOff>2072640</xdr:colOff>
          <xdr:row>21</xdr:row>
          <xdr:rowOff>190500</xdr:rowOff>
        </xdr:to>
        <xdr:sp>
          <xdr:nvSpPr>
            <xdr:cNvPr id="1095" name="ToggleButton52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1879092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18</xdr:row>
          <xdr:rowOff>7620</xdr:rowOff>
        </xdr:from>
        <xdr:to>
          <xdr:col>9</xdr:col>
          <xdr:colOff>1036320</xdr:colOff>
          <xdr:row>19</xdr:row>
          <xdr:rowOff>167640</xdr:rowOff>
        </xdr:to>
        <xdr:sp>
          <xdr:nvSpPr>
            <xdr:cNvPr id="1096" name="CommandButton6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208559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1059180</xdr:colOff>
          <xdr:row>18</xdr:row>
          <xdr:rowOff>7620</xdr:rowOff>
        </xdr:from>
        <xdr:to>
          <xdr:col>9</xdr:col>
          <xdr:colOff>2065020</xdr:colOff>
          <xdr:row>19</xdr:row>
          <xdr:rowOff>167640</xdr:rowOff>
        </xdr:to>
        <xdr:sp>
          <xdr:nvSpPr>
            <xdr:cNvPr id="1097" name="CommandButton62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218846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30480</xdr:rowOff>
        </xdr:from>
        <xdr:to>
          <xdr:col>9</xdr:col>
          <xdr:colOff>1043940</xdr:colOff>
          <xdr:row>21</xdr:row>
          <xdr:rowOff>190500</xdr:rowOff>
        </xdr:to>
        <xdr:sp>
          <xdr:nvSpPr>
            <xdr:cNvPr id="1098" name="ToggleButton61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2086356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1051560</xdr:colOff>
          <xdr:row>20</xdr:row>
          <xdr:rowOff>30480</xdr:rowOff>
        </xdr:from>
        <xdr:to>
          <xdr:col>9</xdr:col>
          <xdr:colOff>2057400</xdr:colOff>
          <xdr:row>21</xdr:row>
          <xdr:rowOff>190500</xdr:rowOff>
        </xdr:to>
        <xdr:sp>
          <xdr:nvSpPr>
            <xdr:cNvPr id="1099" name="ToggleButton62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2187702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2080260</xdr:colOff>
          <xdr:row>18</xdr:row>
          <xdr:rowOff>7620</xdr:rowOff>
        </xdr:from>
        <xdr:to>
          <xdr:col>9</xdr:col>
          <xdr:colOff>3086100</xdr:colOff>
          <xdr:row>19</xdr:row>
          <xdr:rowOff>167640</xdr:rowOff>
        </xdr:to>
        <xdr:sp>
          <xdr:nvSpPr>
            <xdr:cNvPr id="1100" name="CommandButton63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2290572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18</xdr:row>
          <xdr:rowOff>7620</xdr:rowOff>
        </xdr:from>
        <xdr:to>
          <xdr:col>10</xdr:col>
          <xdr:colOff>1028700</xdr:colOff>
          <xdr:row>19</xdr:row>
          <xdr:rowOff>167640</xdr:rowOff>
        </xdr:to>
        <xdr:sp>
          <xdr:nvSpPr>
            <xdr:cNvPr id="1101" name="CommandButton71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2394966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1043940</xdr:colOff>
          <xdr:row>18</xdr:row>
          <xdr:rowOff>7620</xdr:rowOff>
        </xdr:from>
        <xdr:to>
          <xdr:col>10</xdr:col>
          <xdr:colOff>2049780</xdr:colOff>
          <xdr:row>19</xdr:row>
          <xdr:rowOff>167640</xdr:rowOff>
        </xdr:to>
        <xdr:sp>
          <xdr:nvSpPr>
            <xdr:cNvPr id="1102" name="CommandButton72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249707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2072640</xdr:colOff>
          <xdr:row>18</xdr:row>
          <xdr:rowOff>7620</xdr:rowOff>
        </xdr:from>
        <xdr:to>
          <xdr:col>10</xdr:col>
          <xdr:colOff>3078480</xdr:colOff>
          <xdr:row>19</xdr:row>
          <xdr:rowOff>167640</xdr:rowOff>
        </xdr:to>
        <xdr:sp>
          <xdr:nvSpPr>
            <xdr:cNvPr id="1103" name="CommandButton73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259994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30480</xdr:rowOff>
        </xdr:from>
        <xdr:to>
          <xdr:col>10</xdr:col>
          <xdr:colOff>1043940</xdr:colOff>
          <xdr:row>21</xdr:row>
          <xdr:rowOff>190500</xdr:rowOff>
        </xdr:to>
        <xdr:sp>
          <xdr:nvSpPr>
            <xdr:cNvPr id="1104" name="ToggleButton71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2396490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1066800</xdr:colOff>
          <xdr:row>20</xdr:row>
          <xdr:rowOff>30480</xdr:rowOff>
        </xdr:from>
        <xdr:to>
          <xdr:col>10</xdr:col>
          <xdr:colOff>2072640</xdr:colOff>
          <xdr:row>21</xdr:row>
          <xdr:rowOff>190500</xdr:rowOff>
        </xdr:to>
        <xdr:sp>
          <xdr:nvSpPr>
            <xdr:cNvPr id="1105" name="ToggleButton72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2499360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18</xdr:row>
          <xdr:rowOff>7620</xdr:rowOff>
        </xdr:from>
        <xdr:to>
          <xdr:col>11</xdr:col>
          <xdr:colOff>1036320</xdr:colOff>
          <xdr:row>19</xdr:row>
          <xdr:rowOff>167640</xdr:rowOff>
        </xdr:to>
        <xdr:sp>
          <xdr:nvSpPr>
            <xdr:cNvPr id="1106" name="CommandButton81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2705862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18</xdr:row>
          <xdr:rowOff>7620</xdr:rowOff>
        </xdr:from>
        <xdr:to>
          <xdr:col>11</xdr:col>
          <xdr:colOff>2072640</xdr:colOff>
          <xdr:row>19</xdr:row>
          <xdr:rowOff>167640</xdr:rowOff>
        </xdr:to>
        <xdr:sp>
          <xdr:nvSpPr>
            <xdr:cNvPr id="1107" name="CommandButton8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280949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2087880</xdr:colOff>
          <xdr:row>18</xdr:row>
          <xdr:rowOff>7620</xdr:rowOff>
        </xdr:from>
        <xdr:to>
          <xdr:col>11</xdr:col>
          <xdr:colOff>3093720</xdr:colOff>
          <xdr:row>19</xdr:row>
          <xdr:rowOff>167640</xdr:rowOff>
        </xdr:to>
        <xdr:sp>
          <xdr:nvSpPr>
            <xdr:cNvPr id="1108" name="CommandButton83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2911602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30480</xdr:rowOff>
        </xdr:from>
        <xdr:to>
          <xdr:col>11</xdr:col>
          <xdr:colOff>1043940</xdr:colOff>
          <xdr:row>21</xdr:row>
          <xdr:rowOff>190500</xdr:rowOff>
        </xdr:to>
        <xdr:sp>
          <xdr:nvSpPr>
            <xdr:cNvPr id="1109" name="ToggleButton81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2706624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20</xdr:row>
          <xdr:rowOff>30480</xdr:rowOff>
        </xdr:from>
        <xdr:to>
          <xdr:col>11</xdr:col>
          <xdr:colOff>2072640</xdr:colOff>
          <xdr:row>21</xdr:row>
          <xdr:rowOff>190500</xdr:rowOff>
        </xdr:to>
        <xdr:sp>
          <xdr:nvSpPr>
            <xdr:cNvPr id="1110" name="ToggleButton82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2809494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18</xdr:row>
          <xdr:rowOff>7620</xdr:rowOff>
        </xdr:from>
        <xdr:to>
          <xdr:col>12</xdr:col>
          <xdr:colOff>1036320</xdr:colOff>
          <xdr:row>19</xdr:row>
          <xdr:rowOff>167640</xdr:rowOff>
        </xdr:to>
        <xdr:sp>
          <xdr:nvSpPr>
            <xdr:cNvPr id="1111" name="CommandButton91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3015996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1059180</xdr:colOff>
          <xdr:row>18</xdr:row>
          <xdr:rowOff>7620</xdr:rowOff>
        </xdr:from>
        <xdr:to>
          <xdr:col>12</xdr:col>
          <xdr:colOff>2065020</xdr:colOff>
          <xdr:row>19</xdr:row>
          <xdr:rowOff>167640</xdr:rowOff>
        </xdr:to>
        <xdr:sp>
          <xdr:nvSpPr>
            <xdr:cNvPr id="1112" name="CommandButton92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3118866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2080260</xdr:colOff>
          <xdr:row>18</xdr:row>
          <xdr:rowOff>7620</xdr:rowOff>
        </xdr:from>
        <xdr:to>
          <xdr:col>12</xdr:col>
          <xdr:colOff>3086100</xdr:colOff>
          <xdr:row>19</xdr:row>
          <xdr:rowOff>167640</xdr:rowOff>
        </xdr:to>
        <xdr:sp>
          <xdr:nvSpPr>
            <xdr:cNvPr id="1113" name="CommandButton9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32209740" y="538162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30480</xdr:rowOff>
        </xdr:from>
        <xdr:to>
          <xdr:col>12</xdr:col>
          <xdr:colOff>1043940</xdr:colOff>
          <xdr:row>21</xdr:row>
          <xdr:rowOff>190500</xdr:rowOff>
        </xdr:to>
        <xdr:sp>
          <xdr:nvSpPr>
            <xdr:cNvPr id="1114" name="ToggleButton91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3016758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1059180</xdr:colOff>
          <xdr:row>20</xdr:row>
          <xdr:rowOff>30480</xdr:rowOff>
        </xdr:from>
        <xdr:to>
          <xdr:col>12</xdr:col>
          <xdr:colOff>2065020</xdr:colOff>
          <xdr:row>21</xdr:row>
          <xdr:rowOff>190500</xdr:rowOff>
        </xdr:to>
        <xdr:sp>
          <xdr:nvSpPr>
            <xdr:cNvPr id="1115" name="ToggleButton92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31188660" y="580453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38100</xdr:rowOff>
        </xdr:from>
        <xdr:to>
          <xdr:col>1</xdr:col>
          <xdr:colOff>754380</xdr:colOff>
          <xdr:row>21</xdr:row>
          <xdr:rowOff>167640</xdr:rowOff>
        </xdr:to>
        <xdr:sp>
          <xdr:nvSpPr>
            <xdr:cNvPr id="1116" name="CommandButton0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739140" y="5812155"/>
              <a:ext cx="716280" cy="3295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20</xdr:row>
          <xdr:rowOff>38100</xdr:rowOff>
        </xdr:from>
        <xdr:to>
          <xdr:col>1</xdr:col>
          <xdr:colOff>1478280</xdr:colOff>
          <xdr:row>21</xdr:row>
          <xdr:rowOff>167640</xdr:rowOff>
        </xdr:to>
        <xdr:sp>
          <xdr:nvSpPr>
            <xdr:cNvPr id="1117" name="CommandButton0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1463040" y="5812155"/>
              <a:ext cx="716280" cy="3295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18</xdr:row>
          <xdr:rowOff>30480</xdr:rowOff>
        </xdr:from>
        <xdr:to>
          <xdr:col>1</xdr:col>
          <xdr:colOff>0</xdr:colOff>
          <xdr:row>21</xdr:row>
          <xdr:rowOff>167640</xdr:rowOff>
        </xdr:to>
        <xdr:sp>
          <xdr:nvSpPr>
            <xdr:cNvPr id="1118" name="CommandButton0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38100" y="5404485"/>
              <a:ext cx="662940" cy="73723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48.wmf"/><Relationship Id="rId98" Type="http://schemas.openxmlformats.org/officeDocument/2006/relationships/control" Target="../activeX/activeX48.xml"/><Relationship Id="rId97" Type="http://schemas.openxmlformats.org/officeDocument/2006/relationships/image" Target="../media/image47.wmf"/><Relationship Id="rId96" Type="http://schemas.openxmlformats.org/officeDocument/2006/relationships/control" Target="../activeX/activeX47.xml"/><Relationship Id="rId95" Type="http://schemas.openxmlformats.org/officeDocument/2006/relationships/image" Target="../media/image46.wmf"/><Relationship Id="rId94" Type="http://schemas.openxmlformats.org/officeDocument/2006/relationships/control" Target="../activeX/activeX46.xml"/><Relationship Id="rId93" Type="http://schemas.openxmlformats.org/officeDocument/2006/relationships/image" Target="../media/image45.wmf"/><Relationship Id="rId92" Type="http://schemas.openxmlformats.org/officeDocument/2006/relationships/control" Target="../activeX/activeX45.xml"/><Relationship Id="rId91" Type="http://schemas.openxmlformats.org/officeDocument/2006/relationships/image" Target="../media/image44.wmf"/><Relationship Id="rId90" Type="http://schemas.openxmlformats.org/officeDocument/2006/relationships/control" Target="../activeX/activeX44.xml"/><Relationship Id="rId9" Type="http://schemas.openxmlformats.org/officeDocument/2006/relationships/image" Target="../media/image3.wmf"/><Relationship Id="rId89" Type="http://schemas.openxmlformats.org/officeDocument/2006/relationships/image" Target="../media/image43.wmf"/><Relationship Id="rId88" Type="http://schemas.openxmlformats.org/officeDocument/2006/relationships/control" Target="../activeX/activeX43.xml"/><Relationship Id="rId87" Type="http://schemas.openxmlformats.org/officeDocument/2006/relationships/image" Target="../media/image42.wmf"/><Relationship Id="rId86" Type="http://schemas.openxmlformats.org/officeDocument/2006/relationships/control" Target="../activeX/activeX42.xml"/><Relationship Id="rId85" Type="http://schemas.openxmlformats.org/officeDocument/2006/relationships/image" Target="../media/image41.wmf"/><Relationship Id="rId84" Type="http://schemas.openxmlformats.org/officeDocument/2006/relationships/control" Target="../activeX/activeX41.xml"/><Relationship Id="rId83" Type="http://schemas.openxmlformats.org/officeDocument/2006/relationships/image" Target="../media/image40.wmf"/><Relationship Id="rId82" Type="http://schemas.openxmlformats.org/officeDocument/2006/relationships/control" Target="../activeX/activeX40.xml"/><Relationship Id="rId81" Type="http://schemas.openxmlformats.org/officeDocument/2006/relationships/image" Target="../media/image39.wmf"/><Relationship Id="rId80" Type="http://schemas.openxmlformats.org/officeDocument/2006/relationships/control" Target="../activeX/activeX39.xml"/><Relationship Id="rId8" Type="http://schemas.openxmlformats.org/officeDocument/2006/relationships/control" Target="../activeX/activeX3.xml"/><Relationship Id="rId79" Type="http://schemas.openxmlformats.org/officeDocument/2006/relationships/image" Target="../media/image38.wmf"/><Relationship Id="rId78" Type="http://schemas.openxmlformats.org/officeDocument/2006/relationships/control" Target="../activeX/activeX38.xml"/><Relationship Id="rId77" Type="http://schemas.openxmlformats.org/officeDocument/2006/relationships/image" Target="../media/image37.wmf"/><Relationship Id="rId76" Type="http://schemas.openxmlformats.org/officeDocument/2006/relationships/control" Target="../activeX/activeX37.xml"/><Relationship Id="rId75" Type="http://schemas.openxmlformats.org/officeDocument/2006/relationships/image" Target="../media/image36.wmf"/><Relationship Id="rId74" Type="http://schemas.openxmlformats.org/officeDocument/2006/relationships/control" Target="../activeX/activeX36.xml"/><Relationship Id="rId73" Type="http://schemas.openxmlformats.org/officeDocument/2006/relationships/image" Target="../media/image35.wmf"/><Relationship Id="rId72" Type="http://schemas.openxmlformats.org/officeDocument/2006/relationships/control" Target="../activeX/activeX35.xml"/><Relationship Id="rId71" Type="http://schemas.openxmlformats.org/officeDocument/2006/relationships/image" Target="../media/image34.wmf"/><Relationship Id="rId70" Type="http://schemas.openxmlformats.org/officeDocument/2006/relationships/control" Target="../activeX/activeX34.xml"/><Relationship Id="rId7" Type="http://schemas.openxmlformats.org/officeDocument/2006/relationships/image" Target="../media/image2.wmf"/><Relationship Id="rId69" Type="http://schemas.openxmlformats.org/officeDocument/2006/relationships/image" Target="../media/image33.wmf"/><Relationship Id="rId68" Type="http://schemas.openxmlformats.org/officeDocument/2006/relationships/control" Target="../activeX/activeX33.xml"/><Relationship Id="rId67" Type="http://schemas.openxmlformats.org/officeDocument/2006/relationships/image" Target="../media/image32.wmf"/><Relationship Id="rId66" Type="http://schemas.openxmlformats.org/officeDocument/2006/relationships/control" Target="../activeX/activeX32.xml"/><Relationship Id="rId65" Type="http://schemas.openxmlformats.org/officeDocument/2006/relationships/image" Target="../media/image31.wmf"/><Relationship Id="rId64" Type="http://schemas.openxmlformats.org/officeDocument/2006/relationships/control" Target="../activeX/activeX31.xml"/><Relationship Id="rId63" Type="http://schemas.openxmlformats.org/officeDocument/2006/relationships/image" Target="../media/image30.wmf"/><Relationship Id="rId62" Type="http://schemas.openxmlformats.org/officeDocument/2006/relationships/control" Target="../activeX/activeX30.xml"/><Relationship Id="rId61" Type="http://schemas.openxmlformats.org/officeDocument/2006/relationships/image" Target="../media/image29.wmf"/><Relationship Id="rId60" Type="http://schemas.openxmlformats.org/officeDocument/2006/relationships/control" Target="../activeX/activeX29.xml"/><Relationship Id="rId6" Type="http://schemas.openxmlformats.org/officeDocument/2006/relationships/control" Target="../activeX/activeX2.xml"/><Relationship Id="rId59" Type="http://schemas.openxmlformats.org/officeDocument/2006/relationships/image" Target="../media/image28.wmf"/><Relationship Id="rId58" Type="http://schemas.openxmlformats.org/officeDocument/2006/relationships/control" Target="../activeX/activeX28.xml"/><Relationship Id="rId57" Type="http://schemas.openxmlformats.org/officeDocument/2006/relationships/image" Target="../media/image27.wmf"/><Relationship Id="rId56" Type="http://schemas.openxmlformats.org/officeDocument/2006/relationships/control" Target="../activeX/activeX27.xml"/><Relationship Id="rId55" Type="http://schemas.openxmlformats.org/officeDocument/2006/relationships/image" Target="../media/image26.wmf"/><Relationship Id="rId54" Type="http://schemas.openxmlformats.org/officeDocument/2006/relationships/control" Target="../activeX/activeX26.xml"/><Relationship Id="rId53" Type="http://schemas.openxmlformats.org/officeDocument/2006/relationships/image" Target="../media/image25.wmf"/><Relationship Id="rId52" Type="http://schemas.openxmlformats.org/officeDocument/2006/relationships/control" Target="../activeX/activeX25.xml"/><Relationship Id="rId51" Type="http://schemas.openxmlformats.org/officeDocument/2006/relationships/image" Target="../media/image24.wmf"/><Relationship Id="rId50" Type="http://schemas.openxmlformats.org/officeDocument/2006/relationships/control" Target="../activeX/activeX24.xml"/><Relationship Id="rId5" Type="http://schemas.openxmlformats.org/officeDocument/2006/relationships/image" Target="../media/image1.wmf"/><Relationship Id="rId49" Type="http://schemas.openxmlformats.org/officeDocument/2006/relationships/image" Target="../media/image23.wmf"/><Relationship Id="rId48" Type="http://schemas.openxmlformats.org/officeDocument/2006/relationships/control" Target="../activeX/activeX23.xml"/><Relationship Id="rId47" Type="http://schemas.openxmlformats.org/officeDocument/2006/relationships/image" Target="../media/image22.wmf"/><Relationship Id="rId46" Type="http://schemas.openxmlformats.org/officeDocument/2006/relationships/control" Target="../activeX/activeX22.xml"/><Relationship Id="rId45" Type="http://schemas.openxmlformats.org/officeDocument/2006/relationships/image" Target="../media/image21.wmf"/><Relationship Id="rId44" Type="http://schemas.openxmlformats.org/officeDocument/2006/relationships/control" Target="../activeX/activeX21.xml"/><Relationship Id="rId43" Type="http://schemas.openxmlformats.org/officeDocument/2006/relationships/image" Target="../media/image20.wmf"/><Relationship Id="rId42" Type="http://schemas.openxmlformats.org/officeDocument/2006/relationships/control" Target="../activeX/activeX20.xml"/><Relationship Id="rId41" Type="http://schemas.openxmlformats.org/officeDocument/2006/relationships/image" Target="../media/image19.wmf"/><Relationship Id="rId40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39" Type="http://schemas.openxmlformats.org/officeDocument/2006/relationships/image" Target="../media/image18.wmf"/><Relationship Id="rId38" Type="http://schemas.openxmlformats.org/officeDocument/2006/relationships/control" Target="../activeX/activeX18.xml"/><Relationship Id="rId37" Type="http://schemas.openxmlformats.org/officeDocument/2006/relationships/image" Target="../media/image17.wmf"/><Relationship Id="rId36" Type="http://schemas.openxmlformats.org/officeDocument/2006/relationships/control" Target="../activeX/activeX17.xml"/><Relationship Id="rId35" Type="http://schemas.openxmlformats.org/officeDocument/2006/relationships/image" Target="../media/image16.wmf"/><Relationship Id="rId34" Type="http://schemas.openxmlformats.org/officeDocument/2006/relationships/control" Target="../activeX/activeX16.xml"/><Relationship Id="rId33" Type="http://schemas.openxmlformats.org/officeDocument/2006/relationships/image" Target="../media/image15.wmf"/><Relationship Id="rId32" Type="http://schemas.openxmlformats.org/officeDocument/2006/relationships/control" Target="../activeX/activeX15.xml"/><Relationship Id="rId31" Type="http://schemas.openxmlformats.org/officeDocument/2006/relationships/image" Target="../media/image14.wmf"/><Relationship Id="rId30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9" Type="http://schemas.openxmlformats.org/officeDocument/2006/relationships/image" Target="../media/image13.wmf"/><Relationship Id="rId28" Type="http://schemas.openxmlformats.org/officeDocument/2006/relationships/control" Target="../activeX/activeX13.xml"/><Relationship Id="rId27" Type="http://schemas.openxmlformats.org/officeDocument/2006/relationships/image" Target="../media/image12.wmf"/><Relationship Id="rId26" Type="http://schemas.openxmlformats.org/officeDocument/2006/relationships/control" Target="../activeX/activeX12.xml"/><Relationship Id="rId25" Type="http://schemas.openxmlformats.org/officeDocument/2006/relationships/image" Target="../media/image11.wmf"/><Relationship Id="rId24" Type="http://schemas.openxmlformats.org/officeDocument/2006/relationships/control" Target="../activeX/activeX11.xml"/><Relationship Id="rId23" Type="http://schemas.openxmlformats.org/officeDocument/2006/relationships/image" Target="../media/image10.wmf"/><Relationship Id="rId22" Type="http://schemas.openxmlformats.org/officeDocument/2006/relationships/control" Target="../activeX/activeX10.xml"/><Relationship Id="rId21" Type="http://schemas.openxmlformats.org/officeDocument/2006/relationships/image" Target="../media/image9.wmf"/><Relationship Id="rId20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9" Type="http://schemas.openxmlformats.org/officeDocument/2006/relationships/image" Target="../media/image8.wmf"/><Relationship Id="rId18" Type="http://schemas.openxmlformats.org/officeDocument/2006/relationships/control" Target="../activeX/activeX8.xml"/><Relationship Id="rId17" Type="http://schemas.openxmlformats.org/officeDocument/2006/relationships/image" Target="../media/image7.wmf"/><Relationship Id="rId16" Type="http://schemas.openxmlformats.org/officeDocument/2006/relationships/control" Target="../activeX/activeX7.xml"/><Relationship Id="rId15" Type="http://schemas.openxmlformats.org/officeDocument/2006/relationships/image" Target="../media/image6.wmf"/><Relationship Id="rId14" Type="http://schemas.openxmlformats.org/officeDocument/2006/relationships/control" Target="../activeX/activeX6.xml"/><Relationship Id="rId13" Type="http://schemas.openxmlformats.org/officeDocument/2006/relationships/image" Target="../media/image5.wmf"/><Relationship Id="rId12" Type="http://schemas.openxmlformats.org/officeDocument/2006/relationships/control" Target="../activeX/activeX5.xml"/><Relationship Id="rId11" Type="http://schemas.openxmlformats.org/officeDocument/2006/relationships/image" Target="../media/image4.wmf"/><Relationship Id="rId104" Type="http://schemas.openxmlformats.org/officeDocument/2006/relationships/ctrlProp" Target="../ctrlProps/ctrlProp52.xml"/><Relationship Id="rId103" Type="http://schemas.openxmlformats.org/officeDocument/2006/relationships/ctrlProp" Target="../ctrlProps/ctrlProp51.xml"/><Relationship Id="rId102" Type="http://schemas.openxmlformats.org/officeDocument/2006/relationships/ctrlProp" Target="../ctrlProps/ctrlProp50.xml"/><Relationship Id="rId101" Type="http://schemas.openxmlformats.org/officeDocument/2006/relationships/image" Target="../media/image49.wmf"/><Relationship Id="rId100" Type="http://schemas.openxmlformats.org/officeDocument/2006/relationships/control" Target="../activeX/activeX49.xml"/><Relationship Id="rId10" Type="http://schemas.openxmlformats.org/officeDocument/2006/relationships/control" Target="../activeX/activeX4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2"/>
  <sheetViews>
    <sheetView workbookViewId="0">
      <pane xSplit="4" ySplit="2" topLeftCell="G3" activePane="bottomRight" state="frozen"/>
      <selection/>
      <selection pane="topRight"/>
      <selection pane="bottomLeft"/>
      <selection pane="bottomRight" activeCell="H17" sqref="H17"/>
    </sheetView>
  </sheetViews>
  <sheetFormatPr defaultColWidth="11.2" defaultRowHeight="15.75"/>
  <cols>
    <col min="1" max="1" width="9.2" style="4" customWidth="1"/>
    <col min="2" max="2" width="19.9" style="4" customWidth="1"/>
    <col min="3" max="3" width="32.6" style="4" hidden="1" customWidth="1"/>
    <col min="4" max="13" width="40.7" style="4" customWidth="1"/>
    <col min="14" max="16384" width="11.2" style="4"/>
  </cols>
  <sheetData>
    <row r="1" ht="30" customHeight="1" spans="1:13">
      <c r="A1" s="18"/>
      <c r="B1" s="18" t="s">
        <v>0</v>
      </c>
      <c r="C1" s="18" t="s">
        <v>1</v>
      </c>
      <c r="D1" s="18" t="s">
        <v>2</v>
      </c>
      <c r="E1" s="18" t="s">
        <v>3</v>
      </c>
      <c r="F1" s="18" t="s">
        <v>4</v>
      </c>
      <c r="G1" s="18" t="s">
        <v>5</v>
      </c>
      <c r="H1" s="18" t="s">
        <v>6</v>
      </c>
      <c r="I1" s="18" t="s">
        <v>7</v>
      </c>
      <c r="J1" s="18" t="s">
        <v>8</v>
      </c>
      <c r="K1" s="18" t="s">
        <v>9</v>
      </c>
      <c r="L1" s="18" t="s">
        <v>10</v>
      </c>
      <c r="M1" s="18" t="s">
        <v>11</v>
      </c>
    </row>
    <row r="2" ht="16.05" customHeight="1" spans="1:13">
      <c r="A2" s="29" t="s">
        <v>12</v>
      </c>
      <c r="B2" s="19" t="s">
        <v>13</v>
      </c>
      <c r="C2" s="18" t="s">
        <v>14</v>
      </c>
      <c r="D2" s="25">
        <f>COUNT(现象研究记录数目)</f>
        <v>54</v>
      </c>
      <c r="E2" s="25">
        <f>COUNT(现象研究记录数目)+1</f>
        <v>55</v>
      </c>
      <c r="F2" s="25">
        <f>COUNT(现象研究记录数目)+2</f>
        <v>56</v>
      </c>
      <c r="G2" s="25">
        <f>COUNT(现象研究记录数目)+3</f>
        <v>57</v>
      </c>
      <c r="H2" s="25">
        <f>COUNT(现象研究记录数目)+4</f>
        <v>58</v>
      </c>
      <c r="I2" s="25">
        <f>COUNT(现象研究记录数目)+5</f>
        <v>59</v>
      </c>
      <c r="J2" s="25">
        <f>COUNT(现象研究记录数目)+6</f>
        <v>60</v>
      </c>
      <c r="K2" s="25">
        <f>COUNT(现象研究记录数目)+7</f>
        <v>61</v>
      </c>
      <c r="L2" s="25">
        <f>COUNT(现象研究记录数目)+8</f>
        <v>62</v>
      </c>
      <c r="M2" s="25">
        <f>COUNT(现象研究记录数目)+9</f>
        <v>63</v>
      </c>
    </row>
    <row r="3" s="26" customFormat="1" ht="40.05" customHeight="1" spans="1:8">
      <c r="A3" s="29"/>
      <c r="B3" s="19" t="s">
        <v>15</v>
      </c>
      <c r="C3" s="19" t="s">
        <v>16</v>
      </c>
      <c r="D3" s="30" t="s">
        <v>17</v>
      </c>
      <c r="E3" s="31" t="s">
        <v>17</v>
      </c>
      <c r="F3" s="31" t="s">
        <v>17</v>
      </c>
      <c r="G3" s="31" t="s">
        <v>17</v>
      </c>
      <c r="H3" s="31" t="s">
        <v>17</v>
      </c>
    </row>
    <row r="4" spans="1:8">
      <c r="A4" s="29"/>
      <c r="B4" s="25" t="s">
        <v>18</v>
      </c>
      <c r="C4" s="18" t="s">
        <v>19</v>
      </c>
      <c r="D4" s="32" t="s">
        <v>20</v>
      </c>
      <c r="E4" s="33" t="s">
        <v>20</v>
      </c>
      <c r="F4" s="33" t="s">
        <v>20</v>
      </c>
      <c r="G4" s="33" t="s">
        <v>20</v>
      </c>
      <c r="H4" s="33" t="s">
        <v>20</v>
      </c>
    </row>
    <row r="5" ht="31.95" customHeight="1" spans="1:8">
      <c r="A5" s="29" t="s">
        <v>21</v>
      </c>
      <c r="B5" s="18" t="s">
        <v>22</v>
      </c>
      <c r="C5" s="18" t="s">
        <v>23</v>
      </c>
      <c r="D5" s="30" t="s">
        <v>24</v>
      </c>
      <c r="E5" s="33" t="s">
        <v>24</v>
      </c>
      <c r="F5" s="33" t="s">
        <v>24</v>
      </c>
      <c r="G5" s="33" t="s">
        <v>24</v>
      </c>
      <c r="H5" s="33" t="s">
        <v>24</v>
      </c>
    </row>
    <row r="6" ht="16.05" customHeight="1" spans="1:8">
      <c r="A6" s="29"/>
      <c r="B6" s="20" t="s">
        <v>25</v>
      </c>
      <c r="C6" s="20" t="s">
        <v>26</v>
      </c>
      <c r="D6" s="30" t="s">
        <v>27</v>
      </c>
      <c r="E6" s="33" t="s">
        <v>28</v>
      </c>
      <c r="F6" s="33" t="s">
        <v>28</v>
      </c>
      <c r="G6" s="33" t="s">
        <v>27</v>
      </c>
      <c r="H6" s="33" t="s">
        <v>27</v>
      </c>
    </row>
    <row r="7" spans="1:8">
      <c r="A7" s="29"/>
      <c r="B7" s="18" t="s">
        <v>29</v>
      </c>
      <c r="C7" s="18" t="s">
        <v>30</v>
      </c>
      <c r="D7" s="32" t="s">
        <v>31</v>
      </c>
      <c r="E7" s="33" t="s">
        <v>31</v>
      </c>
      <c r="F7" s="33" t="s">
        <v>31</v>
      </c>
      <c r="G7" s="33" t="s">
        <v>31</v>
      </c>
      <c r="H7" s="33" t="s">
        <v>31</v>
      </c>
    </row>
    <row r="8" spans="1:8">
      <c r="A8" s="29"/>
      <c r="B8" s="18" t="s">
        <v>32</v>
      </c>
      <c r="C8" s="18" t="s">
        <v>33</v>
      </c>
      <c r="D8" s="32" t="s">
        <v>34</v>
      </c>
      <c r="E8" s="33" t="s">
        <v>35</v>
      </c>
      <c r="F8" s="33" t="s">
        <v>36</v>
      </c>
      <c r="G8" s="33" t="s">
        <v>37</v>
      </c>
      <c r="H8" s="33" t="s">
        <v>34</v>
      </c>
    </row>
    <row r="9" spans="1:8">
      <c r="A9" s="29"/>
      <c r="B9" s="18" t="s">
        <v>38</v>
      </c>
      <c r="C9" s="18" t="s">
        <v>39</v>
      </c>
      <c r="D9" s="32" t="s">
        <v>40</v>
      </c>
      <c r="E9" s="33" t="s">
        <v>40</v>
      </c>
      <c r="F9" s="33" t="s">
        <v>40</v>
      </c>
      <c r="G9" s="33" t="s">
        <v>40</v>
      </c>
      <c r="H9" s="33" t="s">
        <v>40</v>
      </c>
    </row>
    <row r="10" spans="1:8">
      <c r="A10" s="29" t="s">
        <v>41</v>
      </c>
      <c r="B10" s="18" t="s">
        <v>42</v>
      </c>
      <c r="C10" s="18" t="s">
        <v>43</v>
      </c>
      <c r="D10" s="32" t="s">
        <v>44</v>
      </c>
      <c r="E10" s="33" t="s">
        <v>44</v>
      </c>
      <c r="F10" s="33" t="s">
        <v>44</v>
      </c>
      <c r="G10" s="33" t="s">
        <v>44</v>
      </c>
      <c r="H10" s="33" t="s">
        <v>44</v>
      </c>
    </row>
    <row r="11" spans="1:8">
      <c r="A11" s="29"/>
      <c r="B11" s="18" t="s">
        <v>45</v>
      </c>
      <c r="C11" s="18" t="s">
        <v>46</v>
      </c>
      <c r="D11" s="32" t="s">
        <v>47</v>
      </c>
      <c r="E11" s="33" t="s">
        <v>47</v>
      </c>
      <c r="F11" s="33" t="s">
        <v>47</v>
      </c>
      <c r="G11" s="33" t="s">
        <v>47</v>
      </c>
      <c r="H11" s="33" t="s">
        <v>47</v>
      </c>
    </row>
    <row r="12" spans="1:8">
      <c r="A12" s="29"/>
      <c r="B12" s="18" t="s">
        <v>48</v>
      </c>
      <c r="C12" s="18" t="s">
        <v>49</v>
      </c>
      <c r="D12" s="32" t="s">
        <v>50</v>
      </c>
      <c r="E12" s="33" t="s">
        <v>50</v>
      </c>
      <c r="F12" s="33" t="s">
        <v>50</v>
      </c>
      <c r="G12" s="33" t="s">
        <v>50</v>
      </c>
      <c r="H12" s="33" t="s">
        <v>50</v>
      </c>
    </row>
    <row r="13" spans="1:8">
      <c r="A13" s="29"/>
      <c r="B13" s="18" t="s">
        <v>51</v>
      </c>
      <c r="C13" s="18" t="s">
        <v>52</v>
      </c>
      <c r="D13" s="32" t="s">
        <v>27</v>
      </c>
      <c r="E13" s="33" t="s">
        <v>27</v>
      </c>
      <c r="F13" s="33" t="s">
        <v>27</v>
      </c>
      <c r="G13" s="33" t="s">
        <v>27</v>
      </c>
      <c r="H13" s="33" t="s">
        <v>27</v>
      </c>
    </row>
    <row r="14" spans="1:8">
      <c r="A14" s="29"/>
      <c r="B14" s="18" t="s">
        <v>53</v>
      </c>
      <c r="C14" s="18" t="s">
        <v>54</v>
      </c>
      <c r="D14" s="32" t="s">
        <v>55</v>
      </c>
      <c r="E14" s="33" t="s">
        <v>55</v>
      </c>
      <c r="F14" s="33" t="s">
        <v>55</v>
      </c>
      <c r="G14" s="33" t="s">
        <v>55</v>
      </c>
      <c r="H14" s="33" t="s">
        <v>55</v>
      </c>
    </row>
    <row r="15" s="27" customFormat="1" ht="100.05" customHeight="1" spans="1:8">
      <c r="A15" s="29" t="s">
        <v>56</v>
      </c>
      <c r="B15" s="25" t="s">
        <v>57</v>
      </c>
      <c r="C15" s="34" t="s">
        <v>58</v>
      </c>
      <c r="D15" s="30" t="s">
        <v>59</v>
      </c>
      <c r="E15" s="35" t="s">
        <v>59</v>
      </c>
      <c r="F15" s="35" t="s">
        <v>59</v>
      </c>
      <c r="G15" s="35" t="s">
        <v>59</v>
      </c>
      <c r="H15" s="35" t="s">
        <v>59</v>
      </c>
    </row>
    <row r="16" spans="1:8">
      <c r="A16" s="29"/>
      <c r="B16" s="18" t="s">
        <v>60</v>
      </c>
      <c r="C16" s="18" t="s">
        <v>61</v>
      </c>
      <c r="D16" s="36" t="s">
        <v>62</v>
      </c>
      <c r="E16" s="33" t="s">
        <v>62</v>
      </c>
      <c r="F16" s="33" t="s">
        <v>62</v>
      </c>
      <c r="G16" s="33" t="s">
        <v>62</v>
      </c>
      <c r="H16" s="33" t="s">
        <v>62</v>
      </c>
    </row>
    <row r="17" s="28" customFormat="1" spans="1:8">
      <c r="A17" s="29"/>
      <c r="B17" s="37" t="s">
        <v>63</v>
      </c>
      <c r="C17" s="18" t="s">
        <v>64</v>
      </c>
      <c r="D17" s="38">
        <f ca="1">NOW()</f>
        <v>43486.3769791667</v>
      </c>
      <c r="E17" s="39">
        <f ca="1">NOW()</f>
        <v>43486.3769791667</v>
      </c>
      <c r="F17" s="39">
        <f ca="1">NOW()</f>
        <v>43486.3769791667</v>
      </c>
      <c r="G17" s="39">
        <f ca="1">NOW()</f>
        <v>43486.3769791667</v>
      </c>
      <c r="H17" s="39">
        <f ca="1">NOW()</f>
        <v>43486.3769791667</v>
      </c>
    </row>
    <row r="18" spans="1:13">
      <c r="A18" s="5"/>
      <c r="B18" s="5"/>
      <c r="C18" s="5"/>
      <c r="D18" s="40"/>
      <c r="E18" s="5"/>
      <c r="F18" s="5"/>
      <c r="G18" s="5"/>
      <c r="H18" s="5"/>
      <c r="I18" s="5"/>
      <c r="J18" s="5"/>
      <c r="K18" s="5"/>
      <c r="L18" s="5"/>
      <c r="M18" s="5"/>
    </row>
    <row r="19" spans="1:13">
      <c r="A19" s="5"/>
      <c r="B19" s="40"/>
      <c r="C19" s="5"/>
      <c r="D19" s="40" t="str">
        <f ca="1">IF(AND(D3&lt;&gt;"",D4&lt;&gt;"",D5&lt;&gt;"",D6&lt;&gt;"",D7&lt;&gt;"",D8&lt;&gt;"",D9&lt;&gt;"",D10&lt;&gt;"",D11&lt;&gt;"",D12&lt;&gt;"",D13&lt;&gt;"",D14&lt;&gt;"",D15&lt;&gt;"",D16&lt;&gt;"",D17&lt;&gt;""),"信息填写完整","信息填写不完整")</f>
        <v>信息填写完整</v>
      </c>
      <c r="E19" s="5"/>
      <c r="F19" s="5"/>
      <c r="G19" s="5"/>
      <c r="H19" s="5"/>
      <c r="I19" s="5"/>
      <c r="J19" s="5"/>
      <c r="K19" s="5"/>
      <c r="L19" s="5"/>
      <c r="M19" s="5"/>
    </row>
    <row r="20" spans="1:13">
      <c r="A20" s="5"/>
      <c r="B20" s="40"/>
      <c r="C20" s="5"/>
      <c r="D20" s="40"/>
      <c r="E20" s="5"/>
      <c r="F20" s="5"/>
      <c r="G20" s="5"/>
      <c r="H20" s="5"/>
      <c r="I20" s="5"/>
      <c r="J20" s="5"/>
      <c r="K20" s="5"/>
      <c r="L20" s="5"/>
      <c r="M20" s="5"/>
    </row>
    <row r="21" spans="1:1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</sheetData>
  <sheetProtection password="EF45" sheet="1" selectLockedCells="1" objects="1"/>
  <mergeCells count="6">
    <mergeCell ref="A2:A4"/>
    <mergeCell ref="A5:A9"/>
    <mergeCell ref="A10:A14"/>
    <mergeCell ref="A15:A17"/>
    <mergeCell ref="B19:B20"/>
    <mergeCell ref="D19:D20"/>
  </mergeCells>
  <dataValidations count="7">
    <dataValidation type="list" allowBlank="1" showInputMessage="1" showErrorMessage="1" errorTitle="非设置选项" error="是否确认手动输入信息？" sqref="D14" errorStyle="information">
      <formula1>后台选项!$A$64:$A$67</formula1>
    </dataValidation>
    <dataValidation type="list" allowBlank="1" showInputMessage="1" showErrorMessage="1" sqref="D11">
      <formula1>后台选项!$A$51:$A$57</formula1>
    </dataValidation>
    <dataValidation type="list" allowBlank="1" showInputMessage="1" showErrorMessage="1" sqref="D5">
      <formula1>后台选项!$A$3:$A$36</formula1>
    </dataValidation>
    <dataValidation type="list" allowBlank="1" showInputMessage="1" showErrorMessage="1" errorTitle="非设置选项" error="是否确认手动输入信息？" sqref="D6" errorStyle="information">
      <formula1>INDIRECT($D$5)</formula1>
    </dataValidation>
    <dataValidation type="list" allowBlank="1" showInputMessage="1" showErrorMessage="1" sqref="D7">
      <formula1>后台选项!$A$39:$A$42</formula1>
    </dataValidation>
    <dataValidation type="list" allowBlank="1" showInputMessage="1" showErrorMessage="1" sqref="D9">
      <formula1>后台选项!$A$45:$A$48</formula1>
    </dataValidation>
    <dataValidation type="list" allowBlank="1" showInputMessage="1" showErrorMessage="1" errorTitle="非设置选项" error="是否确认手动输入信息？" sqref="D12:D13" errorStyle="information">
      <formula1>后台选项!$A$60:$A$61</formula1>
    </dataValidation>
  </dataValidations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1060" r:id="rId4" name="CommandButton12">
          <controlPr defaultSize="0" r:id="rId5" disabled="1">
            <anchor moveWithCells="1">
              <from>
                <xdr:col>4</xdr:col>
                <xdr:colOff>1074420</xdr:colOff>
                <xdr:row>18</xdr:row>
                <xdr:rowOff>7620</xdr:rowOff>
              </from>
              <to>
                <xdr:col>4</xdr:col>
                <xdr:colOff>2080260</xdr:colOff>
                <xdr:row>19</xdr:row>
                <xdr:rowOff>167640</xdr:rowOff>
              </to>
            </anchor>
          </controlPr>
        </control>
      </mc:Choice>
      <mc:Fallback>
        <control shapeId="1060" r:id="rId4" name="CommandButton12"/>
      </mc:Fallback>
    </mc:AlternateContent>
    <mc:AlternateContent xmlns:mc="http://schemas.openxmlformats.org/markup-compatibility/2006">
      <mc:Choice Requires="x14">
        <control shapeId="1061" r:id="rId6" name="CommandButton13">
          <controlPr defaultSize="0" r:id="rId7" disabled="1">
            <anchor moveWithCells="1">
              <from>
                <xdr:col>4</xdr:col>
                <xdr:colOff>2095500</xdr:colOff>
                <xdr:row>18</xdr:row>
                <xdr:rowOff>7620</xdr:rowOff>
              </from>
              <to>
                <xdr:col>5</xdr:col>
                <xdr:colOff>0</xdr:colOff>
                <xdr:row>19</xdr:row>
                <xdr:rowOff>167640</xdr:rowOff>
              </to>
            </anchor>
          </controlPr>
        </control>
      </mc:Choice>
      <mc:Fallback>
        <control shapeId="1061" r:id="rId6" name="CommandButton13"/>
      </mc:Fallback>
    </mc:AlternateContent>
    <mc:AlternateContent xmlns:mc="http://schemas.openxmlformats.org/markup-compatibility/2006">
      <mc:Choice Requires="x14">
        <control shapeId="1062" r:id="rId8" name="ToggleButton11">
          <controlPr defaultSize="0" r:id="rId9" disabled="1">
            <anchor moveWithCells="1">
              <from>
                <xdr:col>4</xdr:col>
                <xdr:colOff>30480</xdr:colOff>
                <xdr:row>20</xdr:row>
                <xdr:rowOff>22860</xdr:rowOff>
              </from>
              <to>
                <xdr:col>4</xdr:col>
                <xdr:colOff>1036320</xdr:colOff>
                <xdr:row>21</xdr:row>
                <xdr:rowOff>182880</xdr:rowOff>
              </to>
            </anchor>
          </controlPr>
        </control>
      </mc:Choice>
      <mc:Fallback>
        <control shapeId="1062" r:id="rId8" name="ToggleButton11"/>
      </mc:Fallback>
    </mc:AlternateContent>
    <mc:AlternateContent xmlns:mc="http://schemas.openxmlformats.org/markup-compatibility/2006">
      <mc:Choice Requires="x14">
        <control shapeId="1063" r:id="rId10" name="ToggleButton12">
          <controlPr defaultSize="0" r:id="rId11">
            <anchor moveWithCells="1">
              <from>
                <xdr:col>4</xdr:col>
                <xdr:colOff>1066800</xdr:colOff>
                <xdr:row>20</xdr:row>
                <xdr:rowOff>22860</xdr:rowOff>
              </from>
              <to>
                <xdr:col>4</xdr:col>
                <xdr:colOff>2072640</xdr:colOff>
                <xdr:row>21</xdr:row>
                <xdr:rowOff>182880</xdr:rowOff>
              </to>
            </anchor>
          </controlPr>
        </control>
      </mc:Choice>
      <mc:Fallback>
        <control shapeId="1063" r:id="rId10" name="ToggleButton12"/>
      </mc:Fallback>
    </mc:AlternateContent>
    <mc:AlternateContent xmlns:mc="http://schemas.openxmlformats.org/markup-compatibility/2006">
      <mc:Choice Requires="x14">
        <control shapeId="1069" r:id="rId12" name="CommandButton11">
          <controlPr defaultSize="0" r:id="rId13" disabled="1">
            <anchor moveWithCells="1">
              <from>
                <xdr:col>4</xdr:col>
                <xdr:colOff>45720</xdr:colOff>
                <xdr:row>18</xdr:row>
                <xdr:rowOff>7620</xdr:rowOff>
              </from>
              <to>
                <xdr:col>4</xdr:col>
                <xdr:colOff>1051560</xdr:colOff>
                <xdr:row>19</xdr:row>
                <xdr:rowOff>167640</xdr:rowOff>
              </to>
            </anchor>
          </controlPr>
        </control>
      </mc:Choice>
      <mc:Fallback>
        <control shapeId="1069" r:id="rId12" name="CommandButton11"/>
      </mc:Fallback>
    </mc:AlternateContent>
    <mc:AlternateContent xmlns:mc="http://schemas.openxmlformats.org/markup-compatibility/2006">
      <mc:Choice Requires="x14">
        <control shapeId="1071" r:id="rId14" name="CommandButton01">
          <controlPr defaultSize="0" r:id="rId15">
            <anchor moveWithCells="1">
              <from>
                <xdr:col>1</xdr:col>
                <xdr:colOff>45720</xdr:colOff>
                <xdr:row>18</xdr:row>
                <xdr:rowOff>15240</xdr:rowOff>
              </from>
              <to>
                <xdr:col>1</xdr:col>
                <xdr:colOff>1485900</xdr:colOff>
                <xdr:row>19</xdr:row>
                <xdr:rowOff>175260</xdr:rowOff>
              </to>
            </anchor>
          </controlPr>
        </control>
      </mc:Choice>
      <mc:Fallback>
        <control shapeId="1071" r:id="rId14" name="CommandButton01"/>
      </mc:Fallback>
    </mc:AlternateContent>
    <mc:AlternateContent xmlns:mc="http://schemas.openxmlformats.org/markup-compatibility/2006">
      <mc:Choice Requires="x14">
        <control shapeId="1074" r:id="rId16" name="CommandButton21">
          <controlPr defaultSize="0" r:id="rId17" disabled="1">
            <anchor moveWithCells="1">
              <from>
                <xdr:col>5</xdr:col>
                <xdr:colOff>38100</xdr:colOff>
                <xdr:row>18</xdr:row>
                <xdr:rowOff>7620</xdr:rowOff>
              </from>
              <to>
                <xdr:col>5</xdr:col>
                <xdr:colOff>1043940</xdr:colOff>
                <xdr:row>19</xdr:row>
                <xdr:rowOff>167640</xdr:rowOff>
              </to>
            </anchor>
          </controlPr>
        </control>
      </mc:Choice>
      <mc:Fallback>
        <control shapeId="1074" r:id="rId16" name="CommandButton21"/>
      </mc:Fallback>
    </mc:AlternateContent>
    <mc:AlternateContent xmlns:mc="http://schemas.openxmlformats.org/markup-compatibility/2006">
      <mc:Choice Requires="x14">
        <control shapeId="1075" r:id="rId18" name="CommandButton22">
          <controlPr defaultSize="0" r:id="rId19" disabled="1">
            <anchor moveWithCells="1">
              <from>
                <xdr:col>5</xdr:col>
                <xdr:colOff>1059180</xdr:colOff>
                <xdr:row>18</xdr:row>
                <xdr:rowOff>7620</xdr:rowOff>
              </from>
              <to>
                <xdr:col>5</xdr:col>
                <xdr:colOff>2065020</xdr:colOff>
                <xdr:row>19</xdr:row>
                <xdr:rowOff>167640</xdr:rowOff>
              </to>
            </anchor>
          </controlPr>
        </control>
      </mc:Choice>
      <mc:Fallback>
        <control shapeId="1075" r:id="rId18" name="CommandButton22"/>
      </mc:Fallback>
    </mc:AlternateContent>
    <mc:AlternateContent xmlns:mc="http://schemas.openxmlformats.org/markup-compatibility/2006">
      <mc:Choice Requires="x14">
        <control shapeId="1076" r:id="rId20" name="CommandButton23">
          <controlPr defaultSize="0" r:id="rId21" disabled="1">
            <anchor moveWithCells="1">
              <from>
                <xdr:col>5</xdr:col>
                <xdr:colOff>2087880</xdr:colOff>
                <xdr:row>18</xdr:row>
                <xdr:rowOff>7620</xdr:rowOff>
              </from>
              <to>
                <xdr:col>5</xdr:col>
                <xdr:colOff>3093720</xdr:colOff>
                <xdr:row>19</xdr:row>
                <xdr:rowOff>167640</xdr:rowOff>
              </to>
            </anchor>
          </controlPr>
        </control>
      </mc:Choice>
      <mc:Fallback>
        <control shapeId="1076" r:id="rId20" name="CommandButton23"/>
      </mc:Fallback>
    </mc:AlternateContent>
    <mc:AlternateContent xmlns:mc="http://schemas.openxmlformats.org/markup-compatibility/2006">
      <mc:Choice Requires="x14">
        <control shapeId="1078" r:id="rId22" name="ToggleButton21">
          <controlPr defaultSize="0" r:id="rId23" disabled="1">
            <anchor moveWithCells="1">
              <from>
                <xdr:col>5</xdr:col>
                <xdr:colOff>38100</xdr:colOff>
                <xdr:row>20</xdr:row>
                <xdr:rowOff>30480</xdr:rowOff>
              </from>
              <to>
                <xdr:col>5</xdr:col>
                <xdr:colOff>1043940</xdr:colOff>
                <xdr:row>21</xdr:row>
                <xdr:rowOff>190500</xdr:rowOff>
              </to>
            </anchor>
          </controlPr>
        </control>
      </mc:Choice>
      <mc:Fallback>
        <control shapeId="1078" r:id="rId22" name="ToggleButton21"/>
      </mc:Fallback>
    </mc:AlternateContent>
    <mc:AlternateContent xmlns:mc="http://schemas.openxmlformats.org/markup-compatibility/2006">
      <mc:Choice Requires="x14">
        <control shapeId="1079" r:id="rId24" name="ToggleButton22">
          <controlPr defaultSize="0" r:id="rId25">
            <anchor moveWithCells="1">
              <from>
                <xdr:col>5</xdr:col>
                <xdr:colOff>1059180</xdr:colOff>
                <xdr:row>20</xdr:row>
                <xdr:rowOff>30480</xdr:rowOff>
              </from>
              <to>
                <xdr:col>5</xdr:col>
                <xdr:colOff>2065020</xdr:colOff>
                <xdr:row>21</xdr:row>
                <xdr:rowOff>190500</xdr:rowOff>
              </to>
            </anchor>
          </controlPr>
        </control>
      </mc:Choice>
      <mc:Fallback>
        <control shapeId="1079" r:id="rId24" name="ToggleButton22"/>
      </mc:Fallback>
    </mc:AlternateContent>
    <mc:AlternateContent xmlns:mc="http://schemas.openxmlformats.org/markup-compatibility/2006">
      <mc:Choice Requires="x14">
        <control shapeId="1081" r:id="rId26" name="CommandButton31">
          <controlPr defaultSize="0" r:id="rId27" disabled="1">
            <anchor moveWithCells="1">
              <from>
                <xdr:col>6</xdr:col>
                <xdr:colOff>38100</xdr:colOff>
                <xdr:row>18</xdr:row>
                <xdr:rowOff>7620</xdr:rowOff>
              </from>
              <to>
                <xdr:col>6</xdr:col>
                <xdr:colOff>1043940</xdr:colOff>
                <xdr:row>19</xdr:row>
                <xdr:rowOff>167640</xdr:rowOff>
              </to>
            </anchor>
          </controlPr>
        </control>
      </mc:Choice>
      <mc:Fallback>
        <control shapeId="1081" r:id="rId26" name="CommandButton31"/>
      </mc:Fallback>
    </mc:AlternateContent>
    <mc:AlternateContent xmlns:mc="http://schemas.openxmlformats.org/markup-compatibility/2006">
      <mc:Choice Requires="x14">
        <control shapeId="1082" r:id="rId28" name="CommandButton32">
          <controlPr defaultSize="0" r:id="rId29" disabled="1">
            <anchor moveWithCells="1">
              <from>
                <xdr:col>6</xdr:col>
                <xdr:colOff>1066800</xdr:colOff>
                <xdr:row>18</xdr:row>
                <xdr:rowOff>7620</xdr:rowOff>
              </from>
              <to>
                <xdr:col>6</xdr:col>
                <xdr:colOff>2072640</xdr:colOff>
                <xdr:row>19</xdr:row>
                <xdr:rowOff>167640</xdr:rowOff>
              </to>
            </anchor>
          </controlPr>
        </control>
      </mc:Choice>
      <mc:Fallback>
        <control shapeId="1082" r:id="rId28" name="CommandButton32"/>
      </mc:Fallback>
    </mc:AlternateContent>
    <mc:AlternateContent xmlns:mc="http://schemas.openxmlformats.org/markup-compatibility/2006">
      <mc:Choice Requires="x14">
        <control shapeId="1083" r:id="rId30" name="CommandButton33">
          <controlPr defaultSize="0" r:id="rId31" disabled="1">
            <anchor moveWithCells="1">
              <from>
                <xdr:col>6</xdr:col>
                <xdr:colOff>2087880</xdr:colOff>
                <xdr:row>18</xdr:row>
                <xdr:rowOff>7620</xdr:rowOff>
              </from>
              <to>
                <xdr:col>6</xdr:col>
                <xdr:colOff>3093720</xdr:colOff>
                <xdr:row>19</xdr:row>
                <xdr:rowOff>167640</xdr:rowOff>
              </to>
            </anchor>
          </controlPr>
        </control>
      </mc:Choice>
      <mc:Fallback>
        <control shapeId="1083" r:id="rId30" name="CommandButton33"/>
      </mc:Fallback>
    </mc:AlternateContent>
    <mc:AlternateContent xmlns:mc="http://schemas.openxmlformats.org/markup-compatibility/2006">
      <mc:Choice Requires="x14">
        <control shapeId="1084" r:id="rId32" name="ToggleButton31">
          <controlPr defaultSize="0" r:id="rId33" disabled="1">
            <anchor moveWithCells="1">
              <from>
                <xdr:col>6</xdr:col>
                <xdr:colOff>30480</xdr:colOff>
                <xdr:row>20</xdr:row>
                <xdr:rowOff>30480</xdr:rowOff>
              </from>
              <to>
                <xdr:col>6</xdr:col>
                <xdr:colOff>1036320</xdr:colOff>
                <xdr:row>21</xdr:row>
                <xdr:rowOff>190500</xdr:rowOff>
              </to>
            </anchor>
          </controlPr>
        </control>
      </mc:Choice>
      <mc:Fallback>
        <control shapeId="1084" r:id="rId32" name="ToggleButton31"/>
      </mc:Fallback>
    </mc:AlternateContent>
    <mc:AlternateContent xmlns:mc="http://schemas.openxmlformats.org/markup-compatibility/2006">
      <mc:Choice Requires="x14">
        <control shapeId="1085" r:id="rId34" name="ToggleButton32">
          <controlPr defaultSize="0" r:id="rId35">
            <anchor moveWithCells="1">
              <from>
                <xdr:col>6</xdr:col>
                <xdr:colOff>1051560</xdr:colOff>
                <xdr:row>20</xdr:row>
                <xdr:rowOff>30480</xdr:rowOff>
              </from>
              <to>
                <xdr:col>6</xdr:col>
                <xdr:colOff>2057400</xdr:colOff>
                <xdr:row>21</xdr:row>
                <xdr:rowOff>190500</xdr:rowOff>
              </to>
            </anchor>
          </controlPr>
        </control>
      </mc:Choice>
      <mc:Fallback>
        <control shapeId="1085" r:id="rId34" name="ToggleButton32"/>
      </mc:Fallback>
    </mc:AlternateContent>
    <mc:AlternateContent xmlns:mc="http://schemas.openxmlformats.org/markup-compatibility/2006">
      <mc:Choice Requires="x14">
        <control shapeId="1086" r:id="rId36" name="CommandButton41">
          <controlPr defaultSize="0" r:id="rId37" disabled="1">
            <anchor moveWithCells="1">
              <from>
                <xdr:col>7</xdr:col>
                <xdr:colOff>15240</xdr:colOff>
                <xdr:row>18</xdr:row>
                <xdr:rowOff>7620</xdr:rowOff>
              </from>
              <to>
                <xdr:col>7</xdr:col>
                <xdr:colOff>1021080</xdr:colOff>
                <xdr:row>19</xdr:row>
                <xdr:rowOff>167640</xdr:rowOff>
              </to>
            </anchor>
          </controlPr>
        </control>
      </mc:Choice>
      <mc:Fallback>
        <control shapeId="1086" r:id="rId36" name="CommandButton41"/>
      </mc:Fallback>
    </mc:AlternateContent>
    <mc:AlternateContent xmlns:mc="http://schemas.openxmlformats.org/markup-compatibility/2006">
      <mc:Choice Requires="x14">
        <control shapeId="1087" r:id="rId38" name="CommandButton42">
          <controlPr defaultSize="0" r:id="rId39" disabled="1">
            <anchor moveWithCells="1">
              <from>
                <xdr:col>7</xdr:col>
                <xdr:colOff>1028700</xdr:colOff>
                <xdr:row>18</xdr:row>
                <xdr:rowOff>7620</xdr:rowOff>
              </from>
              <to>
                <xdr:col>7</xdr:col>
                <xdr:colOff>2034540</xdr:colOff>
                <xdr:row>19</xdr:row>
                <xdr:rowOff>167640</xdr:rowOff>
              </to>
            </anchor>
          </controlPr>
        </control>
      </mc:Choice>
      <mc:Fallback>
        <control shapeId="1087" r:id="rId38" name="CommandButton42"/>
      </mc:Fallback>
    </mc:AlternateContent>
    <mc:AlternateContent xmlns:mc="http://schemas.openxmlformats.org/markup-compatibility/2006">
      <mc:Choice Requires="x14">
        <control shapeId="1088" r:id="rId40" name="CommandButton43">
          <controlPr defaultSize="0" r:id="rId41" disabled="1">
            <anchor moveWithCells="1">
              <from>
                <xdr:col>7</xdr:col>
                <xdr:colOff>2057400</xdr:colOff>
                <xdr:row>18</xdr:row>
                <xdr:rowOff>7620</xdr:rowOff>
              </from>
              <to>
                <xdr:col>7</xdr:col>
                <xdr:colOff>3063240</xdr:colOff>
                <xdr:row>19</xdr:row>
                <xdr:rowOff>167640</xdr:rowOff>
              </to>
            </anchor>
          </controlPr>
        </control>
      </mc:Choice>
      <mc:Fallback>
        <control shapeId="1088" r:id="rId40" name="CommandButton43"/>
      </mc:Fallback>
    </mc:AlternateContent>
    <mc:AlternateContent xmlns:mc="http://schemas.openxmlformats.org/markup-compatibility/2006">
      <mc:Choice Requires="x14">
        <control shapeId="1089" r:id="rId42" name="ToggleButton41">
          <controlPr defaultSize="0" r:id="rId43" disabled="1">
            <anchor moveWithCells="1">
              <from>
                <xdr:col>7</xdr:col>
                <xdr:colOff>22860</xdr:colOff>
                <xdr:row>20</xdr:row>
                <xdr:rowOff>30480</xdr:rowOff>
              </from>
              <to>
                <xdr:col>7</xdr:col>
                <xdr:colOff>1028700</xdr:colOff>
                <xdr:row>21</xdr:row>
                <xdr:rowOff>190500</xdr:rowOff>
              </to>
            </anchor>
          </controlPr>
        </control>
      </mc:Choice>
      <mc:Fallback>
        <control shapeId="1089" r:id="rId42" name="ToggleButton41"/>
      </mc:Fallback>
    </mc:AlternateContent>
    <mc:AlternateContent xmlns:mc="http://schemas.openxmlformats.org/markup-compatibility/2006">
      <mc:Choice Requires="x14">
        <control shapeId="1090" r:id="rId44" name="ToggleButton42">
          <controlPr defaultSize="0" r:id="rId45">
            <anchor moveWithCells="1">
              <from>
                <xdr:col>7</xdr:col>
                <xdr:colOff>1028700</xdr:colOff>
                <xdr:row>20</xdr:row>
                <xdr:rowOff>30480</xdr:rowOff>
              </from>
              <to>
                <xdr:col>7</xdr:col>
                <xdr:colOff>2034540</xdr:colOff>
                <xdr:row>21</xdr:row>
                <xdr:rowOff>190500</xdr:rowOff>
              </to>
            </anchor>
          </controlPr>
        </control>
      </mc:Choice>
      <mc:Fallback>
        <control shapeId="1090" r:id="rId44" name="ToggleButton42"/>
      </mc:Fallback>
    </mc:AlternateContent>
    <mc:AlternateContent xmlns:mc="http://schemas.openxmlformats.org/markup-compatibility/2006">
      <mc:Choice Requires="x14">
        <control shapeId="1091" r:id="rId46" name="CommandButton51">
          <controlPr defaultSize="0" r:id="rId47">
            <anchor moveWithCells="1">
              <from>
                <xdr:col>8</xdr:col>
                <xdr:colOff>30480</xdr:colOff>
                <xdr:row>18</xdr:row>
                <xdr:rowOff>7620</xdr:rowOff>
              </from>
              <to>
                <xdr:col>8</xdr:col>
                <xdr:colOff>1036320</xdr:colOff>
                <xdr:row>19</xdr:row>
                <xdr:rowOff>167640</xdr:rowOff>
              </to>
            </anchor>
          </controlPr>
        </control>
      </mc:Choice>
      <mc:Fallback>
        <control shapeId="1091" r:id="rId46" name="CommandButton51"/>
      </mc:Fallback>
    </mc:AlternateContent>
    <mc:AlternateContent xmlns:mc="http://schemas.openxmlformats.org/markup-compatibility/2006">
      <mc:Choice Requires="x14">
        <control shapeId="1092" r:id="rId48" name="CommandButton52">
          <controlPr defaultSize="0" r:id="rId49" disabled="1">
            <anchor moveWithCells="1">
              <from>
                <xdr:col>8</xdr:col>
                <xdr:colOff>1059180</xdr:colOff>
                <xdr:row>18</xdr:row>
                <xdr:rowOff>7620</xdr:rowOff>
              </from>
              <to>
                <xdr:col>8</xdr:col>
                <xdr:colOff>2065020</xdr:colOff>
                <xdr:row>19</xdr:row>
                <xdr:rowOff>167640</xdr:rowOff>
              </to>
            </anchor>
          </controlPr>
        </control>
      </mc:Choice>
      <mc:Fallback>
        <control shapeId="1092" r:id="rId48" name="CommandButton52"/>
      </mc:Fallback>
    </mc:AlternateContent>
    <mc:AlternateContent xmlns:mc="http://schemas.openxmlformats.org/markup-compatibility/2006">
      <mc:Choice Requires="x14">
        <control shapeId="1093" r:id="rId50" name="CommandButton53">
          <controlPr defaultSize="0" r:id="rId51" disabled="1">
            <anchor moveWithCells="1">
              <from>
                <xdr:col>8</xdr:col>
                <xdr:colOff>2087880</xdr:colOff>
                <xdr:row>18</xdr:row>
                <xdr:rowOff>7620</xdr:rowOff>
              </from>
              <to>
                <xdr:col>8</xdr:col>
                <xdr:colOff>3093720</xdr:colOff>
                <xdr:row>19</xdr:row>
                <xdr:rowOff>167640</xdr:rowOff>
              </to>
            </anchor>
          </controlPr>
        </control>
      </mc:Choice>
      <mc:Fallback>
        <control shapeId="1093" r:id="rId50" name="CommandButton53"/>
      </mc:Fallback>
    </mc:AlternateContent>
    <mc:AlternateContent xmlns:mc="http://schemas.openxmlformats.org/markup-compatibility/2006">
      <mc:Choice Requires="x14">
        <control shapeId="1094" r:id="rId52" name="ToggleButton51">
          <controlPr defaultSize="0" r:id="rId53" disabled="1">
            <anchor moveWithCells="1">
              <from>
                <xdr:col>8</xdr:col>
                <xdr:colOff>38100</xdr:colOff>
                <xdr:row>20</xdr:row>
                <xdr:rowOff>30480</xdr:rowOff>
              </from>
              <to>
                <xdr:col>8</xdr:col>
                <xdr:colOff>1043940</xdr:colOff>
                <xdr:row>21</xdr:row>
                <xdr:rowOff>190500</xdr:rowOff>
              </to>
            </anchor>
          </controlPr>
        </control>
      </mc:Choice>
      <mc:Fallback>
        <control shapeId="1094" r:id="rId52" name="ToggleButton51"/>
      </mc:Fallback>
    </mc:AlternateContent>
    <mc:AlternateContent xmlns:mc="http://schemas.openxmlformats.org/markup-compatibility/2006">
      <mc:Choice Requires="x14">
        <control shapeId="1095" r:id="rId54" name="ToggleButton52">
          <controlPr defaultSize="0" r:id="rId55" disabled="1">
            <anchor moveWithCells="1">
              <from>
                <xdr:col>8</xdr:col>
                <xdr:colOff>1066800</xdr:colOff>
                <xdr:row>20</xdr:row>
                <xdr:rowOff>30480</xdr:rowOff>
              </from>
              <to>
                <xdr:col>8</xdr:col>
                <xdr:colOff>2072640</xdr:colOff>
                <xdr:row>21</xdr:row>
                <xdr:rowOff>190500</xdr:rowOff>
              </to>
            </anchor>
          </controlPr>
        </control>
      </mc:Choice>
      <mc:Fallback>
        <control shapeId="1095" r:id="rId54" name="ToggleButton52"/>
      </mc:Fallback>
    </mc:AlternateContent>
    <mc:AlternateContent xmlns:mc="http://schemas.openxmlformats.org/markup-compatibility/2006">
      <mc:Choice Requires="x14">
        <control shapeId="1096" r:id="rId56" name="CommandButton61">
          <controlPr defaultSize="0" r:id="rId57" disabled="1">
            <anchor moveWithCells="1">
              <from>
                <xdr:col>9</xdr:col>
                <xdr:colOff>30480</xdr:colOff>
                <xdr:row>18</xdr:row>
                <xdr:rowOff>7620</xdr:rowOff>
              </from>
              <to>
                <xdr:col>9</xdr:col>
                <xdr:colOff>1036320</xdr:colOff>
                <xdr:row>19</xdr:row>
                <xdr:rowOff>167640</xdr:rowOff>
              </to>
            </anchor>
          </controlPr>
        </control>
      </mc:Choice>
      <mc:Fallback>
        <control shapeId="1096" r:id="rId56" name="CommandButton61"/>
      </mc:Fallback>
    </mc:AlternateContent>
    <mc:AlternateContent xmlns:mc="http://schemas.openxmlformats.org/markup-compatibility/2006">
      <mc:Choice Requires="x14">
        <control shapeId="1097" r:id="rId58" name="CommandButton62">
          <controlPr defaultSize="0" r:id="rId59" disabled="1">
            <anchor moveWithCells="1">
              <from>
                <xdr:col>9</xdr:col>
                <xdr:colOff>1059180</xdr:colOff>
                <xdr:row>18</xdr:row>
                <xdr:rowOff>7620</xdr:rowOff>
              </from>
              <to>
                <xdr:col>9</xdr:col>
                <xdr:colOff>2065020</xdr:colOff>
                <xdr:row>19</xdr:row>
                <xdr:rowOff>167640</xdr:rowOff>
              </to>
            </anchor>
          </controlPr>
        </control>
      </mc:Choice>
      <mc:Fallback>
        <control shapeId="1097" r:id="rId58" name="CommandButton62"/>
      </mc:Fallback>
    </mc:AlternateContent>
    <mc:AlternateContent xmlns:mc="http://schemas.openxmlformats.org/markup-compatibility/2006">
      <mc:Choice Requires="x14">
        <control shapeId="1098" r:id="rId60" name="ToggleButton61">
          <controlPr defaultSize="0" r:id="rId61" disabled="1">
            <anchor moveWithCells="1">
              <from>
                <xdr:col>9</xdr:col>
                <xdr:colOff>38100</xdr:colOff>
                <xdr:row>20</xdr:row>
                <xdr:rowOff>30480</xdr:rowOff>
              </from>
              <to>
                <xdr:col>9</xdr:col>
                <xdr:colOff>1043940</xdr:colOff>
                <xdr:row>21</xdr:row>
                <xdr:rowOff>190500</xdr:rowOff>
              </to>
            </anchor>
          </controlPr>
        </control>
      </mc:Choice>
      <mc:Fallback>
        <control shapeId="1098" r:id="rId60" name="ToggleButton61"/>
      </mc:Fallback>
    </mc:AlternateContent>
    <mc:AlternateContent xmlns:mc="http://schemas.openxmlformats.org/markup-compatibility/2006">
      <mc:Choice Requires="x14">
        <control shapeId="1099" r:id="rId62" name="ToggleButton62">
          <controlPr defaultSize="0" r:id="rId63" disabled="1">
            <anchor moveWithCells="1">
              <from>
                <xdr:col>9</xdr:col>
                <xdr:colOff>1051560</xdr:colOff>
                <xdr:row>20</xdr:row>
                <xdr:rowOff>30480</xdr:rowOff>
              </from>
              <to>
                <xdr:col>9</xdr:col>
                <xdr:colOff>2057400</xdr:colOff>
                <xdr:row>21</xdr:row>
                <xdr:rowOff>190500</xdr:rowOff>
              </to>
            </anchor>
          </controlPr>
        </control>
      </mc:Choice>
      <mc:Fallback>
        <control shapeId="1099" r:id="rId62" name="ToggleButton62"/>
      </mc:Fallback>
    </mc:AlternateContent>
    <mc:AlternateContent xmlns:mc="http://schemas.openxmlformats.org/markup-compatibility/2006">
      <mc:Choice Requires="x14">
        <control shapeId="1100" r:id="rId64" name="CommandButton63">
          <controlPr defaultSize="0" r:id="rId65" disabled="1">
            <anchor moveWithCells="1">
              <from>
                <xdr:col>9</xdr:col>
                <xdr:colOff>2080260</xdr:colOff>
                <xdr:row>18</xdr:row>
                <xdr:rowOff>7620</xdr:rowOff>
              </from>
              <to>
                <xdr:col>9</xdr:col>
                <xdr:colOff>3086100</xdr:colOff>
                <xdr:row>19</xdr:row>
                <xdr:rowOff>167640</xdr:rowOff>
              </to>
            </anchor>
          </controlPr>
        </control>
      </mc:Choice>
      <mc:Fallback>
        <control shapeId="1100" r:id="rId64" name="CommandButton63"/>
      </mc:Fallback>
    </mc:AlternateContent>
    <mc:AlternateContent xmlns:mc="http://schemas.openxmlformats.org/markup-compatibility/2006">
      <mc:Choice Requires="x14">
        <control shapeId="1101" r:id="rId66" name="CommandButton71">
          <controlPr defaultSize="0" r:id="rId67" disabled="1">
            <anchor moveWithCells="1">
              <from>
                <xdr:col>10</xdr:col>
                <xdr:colOff>22860</xdr:colOff>
                <xdr:row>18</xdr:row>
                <xdr:rowOff>7620</xdr:rowOff>
              </from>
              <to>
                <xdr:col>10</xdr:col>
                <xdr:colOff>1028700</xdr:colOff>
                <xdr:row>19</xdr:row>
                <xdr:rowOff>167640</xdr:rowOff>
              </to>
            </anchor>
          </controlPr>
        </control>
      </mc:Choice>
      <mc:Fallback>
        <control shapeId="1101" r:id="rId66" name="CommandButton71"/>
      </mc:Fallback>
    </mc:AlternateContent>
    <mc:AlternateContent xmlns:mc="http://schemas.openxmlformats.org/markup-compatibility/2006">
      <mc:Choice Requires="x14">
        <control shapeId="1102" r:id="rId68" name="CommandButton72">
          <controlPr defaultSize="0" r:id="rId69" disabled="1">
            <anchor moveWithCells="1">
              <from>
                <xdr:col>10</xdr:col>
                <xdr:colOff>1043940</xdr:colOff>
                <xdr:row>18</xdr:row>
                <xdr:rowOff>7620</xdr:rowOff>
              </from>
              <to>
                <xdr:col>10</xdr:col>
                <xdr:colOff>2049780</xdr:colOff>
                <xdr:row>19</xdr:row>
                <xdr:rowOff>167640</xdr:rowOff>
              </to>
            </anchor>
          </controlPr>
        </control>
      </mc:Choice>
      <mc:Fallback>
        <control shapeId="1102" r:id="rId68" name="CommandButton72"/>
      </mc:Fallback>
    </mc:AlternateContent>
    <mc:AlternateContent xmlns:mc="http://schemas.openxmlformats.org/markup-compatibility/2006">
      <mc:Choice Requires="x14">
        <control shapeId="1103" r:id="rId70" name="CommandButton73">
          <controlPr defaultSize="0" r:id="rId71" disabled="1">
            <anchor moveWithCells="1">
              <from>
                <xdr:col>10</xdr:col>
                <xdr:colOff>2072640</xdr:colOff>
                <xdr:row>18</xdr:row>
                <xdr:rowOff>7620</xdr:rowOff>
              </from>
              <to>
                <xdr:col>10</xdr:col>
                <xdr:colOff>3078480</xdr:colOff>
                <xdr:row>19</xdr:row>
                <xdr:rowOff>167640</xdr:rowOff>
              </to>
            </anchor>
          </controlPr>
        </control>
      </mc:Choice>
      <mc:Fallback>
        <control shapeId="1103" r:id="rId70" name="CommandButton73"/>
      </mc:Fallback>
    </mc:AlternateContent>
    <mc:AlternateContent xmlns:mc="http://schemas.openxmlformats.org/markup-compatibility/2006">
      <mc:Choice Requires="x14">
        <control shapeId="1104" r:id="rId72" name="ToggleButton71">
          <controlPr defaultSize="0" r:id="rId73" disabled="1">
            <anchor moveWithCells="1">
              <from>
                <xdr:col>10</xdr:col>
                <xdr:colOff>38100</xdr:colOff>
                <xdr:row>20</xdr:row>
                <xdr:rowOff>30480</xdr:rowOff>
              </from>
              <to>
                <xdr:col>10</xdr:col>
                <xdr:colOff>1043940</xdr:colOff>
                <xdr:row>21</xdr:row>
                <xdr:rowOff>190500</xdr:rowOff>
              </to>
            </anchor>
          </controlPr>
        </control>
      </mc:Choice>
      <mc:Fallback>
        <control shapeId="1104" r:id="rId72" name="ToggleButton71"/>
      </mc:Fallback>
    </mc:AlternateContent>
    <mc:AlternateContent xmlns:mc="http://schemas.openxmlformats.org/markup-compatibility/2006">
      <mc:Choice Requires="x14">
        <control shapeId="1105" r:id="rId74" name="ToggleButton72">
          <controlPr defaultSize="0" r:id="rId75" disabled="1">
            <anchor moveWithCells="1">
              <from>
                <xdr:col>10</xdr:col>
                <xdr:colOff>1066800</xdr:colOff>
                <xdr:row>20</xdr:row>
                <xdr:rowOff>30480</xdr:rowOff>
              </from>
              <to>
                <xdr:col>10</xdr:col>
                <xdr:colOff>2072640</xdr:colOff>
                <xdr:row>21</xdr:row>
                <xdr:rowOff>190500</xdr:rowOff>
              </to>
            </anchor>
          </controlPr>
        </control>
      </mc:Choice>
      <mc:Fallback>
        <control shapeId="1105" r:id="rId74" name="ToggleButton72"/>
      </mc:Fallback>
    </mc:AlternateContent>
    <mc:AlternateContent xmlns:mc="http://schemas.openxmlformats.org/markup-compatibility/2006">
      <mc:Choice Requires="x14">
        <control shapeId="1106" r:id="rId76" name="CommandButton81">
          <controlPr defaultSize="0" r:id="rId77" disabled="1">
            <anchor moveWithCells="1">
              <from>
                <xdr:col>11</xdr:col>
                <xdr:colOff>30480</xdr:colOff>
                <xdr:row>18</xdr:row>
                <xdr:rowOff>7620</xdr:rowOff>
              </from>
              <to>
                <xdr:col>11</xdr:col>
                <xdr:colOff>1036320</xdr:colOff>
                <xdr:row>19</xdr:row>
                <xdr:rowOff>167640</xdr:rowOff>
              </to>
            </anchor>
          </controlPr>
        </control>
      </mc:Choice>
      <mc:Fallback>
        <control shapeId="1106" r:id="rId76" name="CommandButton81"/>
      </mc:Fallback>
    </mc:AlternateContent>
    <mc:AlternateContent xmlns:mc="http://schemas.openxmlformats.org/markup-compatibility/2006">
      <mc:Choice Requires="x14">
        <control shapeId="1107" r:id="rId78" name="CommandButton82">
          <controlPr defaultSize="0" r:id="rId79" disabled="1">
            <anchor moveWithCells="1">
              <from>
                <xdr:col>11</xdr:col>
                <xdr:colOff>1066800</xdr:colOff>
                <xdr:row>18</xdr:row>
                <xdr:rowOff>7620</xdr:rowOff>
              </from>
              <to>
                <xdr:col>11</xdr:col>
                <xdr:colOff>2072640</xdr:colOff>
                <xdr:row>19</xdr:row>
                <xdr:rowOff>167640</xdr:rowOff>
              </to>
            </anchor>
          </controlPr>
        </control>
      </mc:Choice>
      <mc:Fallback>
        <control shapeId="1107" r:id="rId78" name="CommandButton82"/>
      </mc:Fallback>
    </mc:AlternateContent>
    <mc:AlternateContent xmlns:mc="http://schemas.openxmlformats.org/markup-compatibility/2006">
      <mc:Choice Requires="x14">
        <control shapeId="1108" r:id="rId80" name="CommandButton83">
          <controlPr defaultSize="0" r:id="rId81" disabled="1">
            <anchor moveWithCells="1">
              <from>
                <xdr:col>11</xdr:col>
                <xdr:colOff>2087880</xdr:colOff>
                <xdr:row>18</xdr:row>
                <xdr:rowOff>7620</xdr:rowOff>
              </from>
              <to>
                <xdr:col>11</xdr:col>
                <xdr:colOff>3093720</xdr:colOff>
                <xdr:row>19</xdr:row>
                <xdr:rowOff>167640</xdr:rowOff>
              </to>
            </anchor>
          </controlPr>
        </control>
      </mc:Choice>
      <mc:Fallback>
        <control shapeId="1108" r:id="rId80" name="CommandButton83"/>
      </mc:Fallback>
    </mc:AlternateContent>
    <mc:AlternateContent xmlns:mc="http://schemas.openxmlformats.org/markup-compatibility/2006">
      <mc:Choice Requires="x14">
        <control shapeId="1109" r:id="rId82" name="ToggleButton81">
          <controlPr defaultSize="0" r:id="rId83" disabled="1">
            <anchor moveWithCells="1">
              <from>
                <xdr:col>11</xdr:col>
                <xdr:colOff>38100</xdr:colOff>
                <xdr:row>20</xdr:row>
                <xdr:rowOff>30480</xdr:rowOff>
              </from>
              <to>
                <xdr:col>11</xdr:col>
                <xdr:colOff>1043940</xdr:colOff>
                <xdr:row>21</xdr:row>
                <xdr:rowOff>190500</xdr:rowOff>
              </to>
            </anchor>
          </controlPr>
        </control>
      </mc:Choice>
      <mc:Fallback>
        <control shapeId="1109" r:id="rId82" name="ToggleButton81"/>
      </mc:Fallback>
    </mc:AlternateContent>
    <mc:AlternateContent xmlns:mc="http://schemas.openxmlformats.org/markup-compatibility/2006">
      <mc:Choice Requires="x14">
        <control shapeId="1110" r:id="rId84" name="ToggleButton82">
          <controlPr defaultSize="0" r:id="rId85" disabled="1">
            <anchor moveWithCells="1">
              <from>
                <xdr:col>11</xdr:col>
                <xdr:colOff>1066800</xdr:colOff>
                <xdr:row>20</xdr:row>
                <xdr:rowOff>30480</xdr:rowOff>
              </from>
              <to>
                <xdr:col>11</xdr:col>
                <xdr:colOff>2072640</xdr:colOff>
                <xdr:row>21</xdr:row>
                <xdr:rowOff>190500</xdr:rowOff>
              </to>
            </anchor>
          </controlPr>
        </control>
      </mc:Choice>
      <mc:Fallback>
        <control shapeId="1110" r:id="rId84" name="ToggleButton82"/>
      </mc:Fallback>
    </mc:AlternateContent>
    <mc:AlternateContent xmlns:mc="http://schemas.openxmlformats.org/markup-compatibility/2006">
      <mc:Choice Requires="x14">
        <control shapeId="1111" r:id="rId86" name="CommandButton91">
          <controlPr defaultSize="0" r:id="rId87" disabled="1">
            <anchor moveWithCells="1">
              <from>
                <xdr:col>12</xdr:col>
                <xdr:colOff>30480</xdr:colOff>
                <xdr:row>18</xdr:row>
                <xdr:rowOff>7620</xdr:rowOff>
              </from>
              <to>
                <xdr:col>12</xdr:col>
                <xdr:colOff>1036320</xdr:colOff>
                <xdr:row>19</xdr:row>
                <xdr:rowOff>167640</xdr:rowOff>
              </to>
            </anchor>
          </controlPr>
        </control>
      </mc:Choice>
      <mc:Fallback>
        <control shapeId="1111" r:id="rId86" name="CommandButton91"/>
      </mc:Fallback>
    </mc:AlternateContent>
    <mc:AlternateContent xmlns:mc="http://schemas.openxmlformats.org/markup-compatibility/2006">
      <mc:Choice Requires="x14">
        <control shapeId="1112" r:id="rId88" name="CommandButton92">
          <controlPr defaultSize="0" r:id="rId89" disabled="1">
            <anchor moveWithCells="1">
              <from>
                <xdr:col>12</xdr:col>
                <xdr:colOff>1059180</xdr:colOff>
                <xdr:row>18</xdr:row>
                <xdr:rowOff>7620</xdr:rowOff>
              </from>
              <to>
                <xdr:col>12</xdr:col>
                <xdr:colOff>2065020</xdr:colOff>
                <xdr:row>19</xdr:row>
                <xdr:rowOff>167640</xdr:rowOff>
              </to>
            </anchor>
          </controlPr>
        </control>
      </mc:Choice>
      <mc:Fallback>
        <control shapeId="1112" r:id="rId88" name="CommandButton92"/>
      </mc:Fallback>
    </mc:AlternateContent>
    <mc:AlternateContent xmlns:mc="http://schemas.openxmlformats.org/markup-compatibility/2006">
      <mc:Choice Requires="x14">
        <control shapeId="1113" r:id="rId90" name="CommandButton93">
          <controlPr defaultSize="0" r:id="rId91" disabled="1">
            <anchor moveWithCells="1">
              <from>
                <xdr:col>12</xdr:col>
                <xdr:colOff>2080260</xdr:colOff>
                <xdr:row>18</xdr:row>
                <xdr:rowOff>7620</xdr:rowOff>
              </from>
              <to>
                <xdr:col>12</xdr:col>
                <xdr:colOff>3086100</xdr:colOff>
                <xdr:row>19</xdr:row>
                <xdr:rowOff>167640</xdr:rowOff>
              </to>
            </anchor>
          </controlPr>
        </control>
      </mc:Choice>
      <mc:Fallback>
        <control shapeId="1113" r:id="rId90" name="CommandButton93"/>
      </mc:Fallback>
    </mc:AlternateContent>
    <mc:AlternateContent xmlns:mc="http://schemas.openxmlformats.org/markup-compatibility/2006">
      <mc:Choice Requires="x14">
        <control shapeId="1114" r:id="rId92" name="ToggleButton91">
          <controlPr defaultSize="0" r:id="rId93" disabled="1">
            <anchor moveWithCells="1">
              <from>
                <xdr:col>12</xdr:col>
                <xdr:colOff>38100</xdr:colOff>
                <xdr:row>20</xdr:row>
                <xdr:rowOff>30480</xdr:rowOff>
              </from>
              <to>
                <xdr:col>12</xdr:col>
                <xdr:colOff>1043940</xdr:colOff>
                <xdr:row>21</xdr:row>
                <xdr:rowOff>190500</xdr:rowOff>
              </to>
            </anchor>
          </controlPr>
        </control>
      </mc:Choice>
      <mc:Fallback>
        <control shapeId="1114" r:id="rId92" name="ToggleButton91"/>
      </mc:Fallback>
    </mc:AlternateContent>
    <mc:AlternateContent xmlns:mc="http://schemas.openxmlformats.org/markup-compatibility/2006">
      <mc:Choice Requires="x14">
        <control shapeId="1115" r:id="rId94" name="ToggleButton92">
          <controlPr defaultSize="0" r:id="rId95" disabled="1">
            <anchor moveWithCells="1">
              <from>
                <xdr:col>12</xdr:col>
                <xdr:colOff>1059180</xdr:colOff>
                <xdr:row>20</xdr:row>
                <xdr:rowOff>30480</xdr:rowOff>
              </from>
              <to>
                <xdr:col>12</xdr:col>
                <xdr:colOff>2065020</xdr:colOff>
                <xdr:row>21</xdr:row>
                <xdr:rowOff>190500</xdr:rowOff>
              </to>
            </anchor>
          </controlPr>
        </control>
      </mc:Choice>
      <mc:Fallback>
        <control shapeId="1115" r:id="rId94" name="ToggleButton92"/>
      </mc:Fallback>
    </mc:AlternateContent>
    <mc:AlternateContent xmlns:mc="http://schemas.openxmlformats.org/markup-compatibility/2006">
      <mc:Choice Requires="x14">
        <control shapeId="1116" r:id="rId96" name="CommandButton02">
          <controlPr defaultSize="0" r:id="rId97">
            <anchor moveWithCells="1">
              <from>
                <xdr:col>1</xdr:col>
                <xdr:colOff>38100</xdr:colOff>
                <xdr:row>20</xdr:row>
                <xdr:rowOff>38100</xdr:rowOff>
              </from>
              <to>
                <xdr:col>1</xdr:col>
                <xdr:colOff>754380</xdr:colOff>
                <xdr:row>21</xdr:row>
                <xdr:rowOff>167640</xdr:rowOff>
              </to>
            </anchor>
          </controlPr>
        </control>
      </mc:Choice>
      <mc:Fallback>
        <control shapeId="1116" r:id="rId96" name="CommandButton02"/>
      </mc:Fallback>
    </mc:AlternateContent>
    <mc:AlternateContent xmlns:mc="http://schemas.openxmlformats.org/markup-compatibility/2006">
      <mc:Choice Requires="x14">
        <control shapeId="1117" r:id="rId98" name="CommandButton03">
          <controlPr defaultSize="0" r:id="rId99">
            <anchor moveWithCells="1">
              <from>
                <xdr:col>1</xdr:col>
                <xdr:colOff>762000</xdr:colOff>
                <xdr:row>20</xdr:row>
                <xdr:rowOff>38100</xdr:rowOff>
              </from>
              <to>
                <xdr:col>1</xdr:col>
                <xdr:colOff>1478280</xdr:colOff>
                <xdr:row>21</xdr:row>
                <xdr:rowOff>167640</xdr:rowOff>
              </to>
            </anchor>
          </controlPr>
        </control>
      </mc:Choice>
      <mc:Fallback>
        <control shapeId="1117" r:id="rId98" name="CommandButton03"/>
      </mc:Fallback>
    </mc:AlternateContent>
    <mc:AlternateContent xmlns:mc="http://schemas.openxmlformats.org/markup-compatibility/2006">
      <mc:Choice Requires="x14">
        <control shapeId="1118" r:id="rId100" name="CommandButton04">
          <controlPr defaultSize="0" r:id="rId101">
            <anchor moveWithCells="1">
              <from>
                <xdr:col>0</xdr:col>
                <xdr:colOff>38100</xdr:colOff>
                <xdr:row>18</xdr:row>
                <xdr:rowOff>30480</xdr:rowOff>
              </from>
              <to>
                <xdr:col>1</xdr:col>
                <xdr:colOff>0</xdr:colOff>
                <xdr:row>21</xdr:row>
                <xdr:rowOff>167640</xdr:rowOff>
              </to>
            </anchor>
          </controlPr>
        </control>
      </mc:Choice>
      <mc:Fallback>
        <control shapeId="1118" r:id="rId100" name="CommandButton04"/>
      </mc:Fallback>
    </mc:AlternateContent>
    <mc:AlternateContent xmlns:mc="http://schemas.openxmlformats.org/markup-compatibility/2006">
      <mc:Choice Requires="x14">
        <control shapeId="1048" name="Button 24" r:id="rId102">
          <controlPr print="0" defaultSize="0">
            <anchor moveWithCells="1">
              <from>
                <xdr:col>3</xdr:col>
                <xdr:colOff>1135380</xdr:colOff>
                <xdr:row>20</xdr:row>
                <xdr:rowOff>22860</xdr:rowOff>
              </from>
              <to>
                <xdr:col>3</xdr:col>
                <xdr:colOff>2141220</xdr:colOff>
                <xdr:row>21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name="Button 28" r:id="rId103">
          <controlPr print="0" defaultSize="0">
            <anchor moveWithCells="1">
              <from>
                <xdr:col>3</xdr:col>
                <xdr:colOff>53340</xdr:colOff>
                <xdr:row>20</xdr:row>
                <xdr:rowOff>22860</xdr:rowOff>
              </from>
              <to>
                <xdr:col>3</xdr:col>
                <xdr:colOff>1059180</xdr:colOff>
                <xdr:row>21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name="Button 49" r:id="rId104">
          <controlPr print="0" defaultSize="0">
            <anchor moveWithCells="1" sizeWithCells="1">
              <from>
                <xdr:col>3</xdr:col>
                <xdr:colOff>2202180</xdr:colOff>
                <xdr:row>20</xdr:row>
                <xdr:rowOff>22860</xdr:rowOff>
              </from>
              <to>
                <xdr:col>3</xdr:col>
                <xdr:colOff>3017520</xdr:colOff>
                <xdr:row>21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35"/>
  <sheetViews>
    <sheetView tabSelected="1" workbookViewId="0">
      <selection activeCell="A2" sqref="A2:P2"/>
    </sheetView>
  </sheetViews>
  <sheetFormatPr defaultColWidth="11.2" defaultRowHeight="15.75"/>
  <cols>
    <col min="1" max="1" width="11.2" customWidth="1"/>
    <col min="16" max="16" width="16.8" customWidth="1"/>
  </cols>
  <sheetData>
    <row r="1" ht="30.6" customHeight="1" spans="1:16">
      <c r="A1" s="18" t="s">
        <v>14</v>
      </c>
      <c r="B1" s="19" t="s">
        <v>16</v>
      </c>
      <c r="C1" s="18" t="s">
        <v>19</v>
      </c>
      <c r="D1" s="18" t="s">
        <v>23</v>
      </c>
      <c r="E1" s="20" t="s">
        <v>26</v>
      </c>
      <c r="F1" s="18" t="s">
        <v>30</v>
      </c>
      <c r="G1" s="18" t="s">
        <v>33</v>
      </c>
      <c r="H1" s="18" t="s">
        <v>39</v>
      </c>
      <c r="I1" s="18" t="s">
        <v>43</v>
      </c>
      <c r="J1" s="18" t="s">
        <v>46</v>
      </c>
      <c r="K1" s="18" t="s">
        <v>49</v>
      </c>
      <c r="L1" s="18" t="s">
        <v>52</v>
      </c>
      <c r="M1" s="18" t="s">
        <v>54</v>
      </c>
      <c r="N1" s="18" t="s">
        <v>58</v>
      </c>
      <c r="O1" s="18" t="s">
        <v>61</v>
      </c>
      <c r="P1" s="18" t="s">
        <v>64</v>
      </c>
    </row>
    <row r="2" spans="1:16">
      <c r="A2" s="1">
        <v>54</v>
      </c>
      <c r="B2" s="2" t="s">
        <v>17</v>
      </c>
      <c r="C2" s="2" t="s">
        <v>20</v>
      </c>
      <c r="D2" s="2" t="s">
        <v>24</v>
      </c>
      <c r="E2" s="2" t="s">
        <v>27</v>
      </c>
      <c r="F2" s="2" t="s">
        <v>31</v>
      </c>
      <c r="G2" s="2" t="s">
        <v>65</v>
      </c>
      <c r="H2" s="2" t="s">
        <v>40</v>
      </c>
      <c r="I2" s="2" t="s">
        <v>44</v>
      </c>
      <c r="J2" s="2" t="s">
        <v>66</v>
      </c>
      <c r="K2" s="2" t="s">
        <v>67</v>
      </c>
      <c r="L2" s="2" t="s">
        <v>27</v>
      </c>
      <c r="M2" s="2" t="s">
        <v>68</v>
      </c>
      <c r="N2" s="2" t="s">
        <v>69</v>
      </c>
      <c r="O2" s="2" t="s">
        <v>62</v>
      </c>
      <c r="P2" s="3">
        <v>43485.8497337963</v>
      </c>
    </row>
    <row r="3" spans="1:16">
      <c r="A3" s="1">
        <v>53</v>
      </c>
      <c r="B3" s="2" t="s">
        <v>17</v>
      </c>
      <c r="C3" s="2" t="s">
        <v>20</v>
      </c>
      <c r="D3" s="2" t="s">
        <v>24</v>
      </c>
      <c r="E3" s="2" t="s">
        <v>27</v>
      </c>
      <c r="F3" s="2" t="s">
        <v>31</v>
      </c>
      <c r="G3" s="2" t="s">
        <v>37</v>
      </c>
      <c r="H3" s="2" t="s">
        <v>40</v>
      </c>
      <c r="I3" s="2" t="s">
        <v>44</v>
      </c>
      <c r="J3" s="2" t="s">
        <v>66</v>
      </c>
      <c r="K3" s="2" t="s">
        <v>67</v>
      </c>
      <c r="L3" s="2" t="s">
        <v>27</v>
      </c>
      <c r="M3" s="2" t="s">
        <v>68</v>
      </c>
      <c r="N3" s="2" t="s">
        <v>69</v>
      </c>
      <c r="O3" s="2" t="s">
        <v>62</v>
      </c>
      <c r="P3" s="3">
        <v>43485.8497337963</v>
      </c>
    </row>
    <row r="4" spans="1:16">
      <c r="A4" s="1">
        <v>52</v>
      </c>
      <c r="B4" s="2" t="s">
        <v>17</v>
      </c>
      <c r="C4" s="2" t="s">
        <v>20</v>
      </c>
      <c r="D4" s="2" t="s">
        <v>24</v>
      </c>
      <c r="E4" s="2" t="s">
        <v>28</v>
      </c>
      <c r="F4" s="2" t="s">
        <v>31</v>
      </c>
      <c r="G4" s="2" t="s">
        <v>36</v>
      </c>
      <c r="H4" s="2" t="s">
        <v>40</v>
      </c>
      <c r="I4" s="2" t="s">
        <v>44</v>
      </c>
      <c r="J4" s="2" t="s">
        <v>66</v>
      </c>
      <c r="K4" s="2" t="s">
        <v>67</v>
      </c>
      <c r="L4" s="2" t="s">
        <v>27</v>
      </c>
      <c r="M4" s="2" t="s">
        <v>68</v>
      </c>
      <c r="N4" s="2" t="s">
        <v>69</v>
      </c>
      <c r="O4" s="2" t="s">
        <v>62</v>
      </c>
      <c r="P4" s="3">
        <v>43485.8497337963</v>
      </c>
    </row>
    <row r="5" spans="1:16">
      <c r="A5" s="1">
        <v>51</v>
      </c>
      <c r="B5" s="2" t="s">
        <v>17</v>
      </c>
      <c r="C5" s="2" t="s">
        <v>20</v>
      </c>
      <c r="D5" s="2" t="s">
        <v>24</v>
      </c>
      <c r="E5" s="2" t="s">
        <v>28</v>
      </c>
      <c r="F5" s="2" t="s">
        <v>31</v>
      </c>
      <c r="G5" s="2" t="s">
        <v>35</v>
      </c>
      <c r="H5" s="2" t="s">
        <v>40</v>
      </c>
      <c r="I5" s="2" t="s">
        <v>44</v>
      </c>
      <c r="J5" s="2" t="s">
        <v>66</v>
      </c>
      <c r="K5" s="2" t="s">
        <v>67</v>
      </c>
      <c r="L5" s="2" t="s">
        <v>27</v>
      </c>
      <c r="M5" s="2" t="s">
        <v>68</v>
      </c>
      <c r="N5" s="2" t="s">
        <v>69</v>
      </c>
      <c r="O5" s="2" t="s">
        <v>62</v>
      </c>
      <c r="P5" s="3">
        <v>43485.8497337963</v>
      </c>
    </row>
    <row r="6" spans="1:16">
      <c r="A6" s="1">
        <v>50</v>
      </c>
      <c r="B6" s="2" t="s">
        <v>17</v>
      </c>
      <c r="C6" s="2" t="s">
        <v>20</v>
      </c>
      <c r="D6" s="2" t="s">
        <v>24</v>
      </c>
      <c r="E6" s="2" t="s">
        <v>27</v>
      </c>
      <c r="F6" s="2" t="s">
        <v>70</v>
      </c>
      <c r="G6" s="2" t="s">
        <v>71</v>
      </c>
      <c r="H6" s="2" t="s">
        <v>40</v>
      </c>
      <c r="I6" s="2" t="s">
        <v>72</v>
      </c>
      <c r="J6" s="2" t="s">
        <v>73</v>
      </c>
      <c r="K6" s="2" t="s">
        <v>74</v>
      </c>
      <c r="L6" s="2" t="s">
        <v>75</v>
      </c>
      <c r="M6" s="2" t="s">
        <v>55</v>
      </c>
      <c r="N6" s="2" t="s">
        <v>76</v>
      </c>
      <c r="O6" s="2" t="s">
        <v>62</v>
      </c>
      <c r="P6" s="3">
        <v>43485.8497337963</v>
      </c>
    </row>
    <row r="7" spans="1:16">
      <c r="A7" s="1">
        <v>49</v>
      </c>
      <c r="B7" s="2" t="s">
        <v>17</v>
      </c>
      <c r="C7" s="2" t="s">
        <v>20</v>
      </c>
      <c r="D7" s="2" t="s">
        <v>24</v>
      </c>
      <c r="E7" s="2" t="s">
        <v>27</v>
      </c>
      <c r="F7" s="2" t="s">
        <v>70</v>
      </c>
      <c r="G7" s="2" t="s">
        <v>71</v>
      </c>
      <c r="H7" s="2" t="s">
        <v>40</v>
      </c>
      <c r="I7" s="2" t="s">
        <v>72</v>
      </c>
      <c r="J7" s="2" t="s">
        <v>66</v>
      </c>
      <c r="K7" s="2" t="s">
        <v>77</v>
      </c>
      <c r="L7" s="2" t="s">
        <v>27</v>
      </c>
      <c r="M7" s="2" t="s">
        <v>78</v>
      </c>
      <c r="N7" s="2" t="s">
        <v>79</v>
      </c>
      <c r="O7" s="2" t="s">
        <v>62</v>
      </c>
      <c r="P7" s="3">
        <v>43485.8497337963</v>
      </c>
    </row>
    <row r="8" spans="1:16">
      <c r="A8" s="1">
        <v>48</v>
      </c>
      <c r="B8" s="2" t="s">
        <v>80</v>
      </c>
      <c r="C8" s="2" t="s">
        <v>81</v>
      </c>
      <c r="D8" s="2" t="s">
        <v>82</v>
      </c>
      <c r="E8" s="2" t="s">
        <v>27</v>
      </c>
      <c r="F8" s="2" t="s">
        <v>70</v>
      </c>
      <c r="G8" s="2" t="s">
        <v>83</v>
      </c>
      <c r="H8" s="2" t="s">
        <v>40</v>
      </c>
      <c r="I8" s="2" t="s">
        <v>27</v>
      </c>
      <c r="J8" s="2" t="s">
        <v>47</v>
      </c>
      <c r="K8" s="2" t="s">
        <v>84</v>
      </c>
      <c r="L8" s="2" t="s">
        <v>27</v>
      </c>
      <c r="M8" s="2" t="s">
        <v>55</v>
      </c>
      <c r="N8" s="2" t="s">
        <v>85</v>
      </c>
      <c r="O8" s="2" t="s">
        <v>62</v>
      </c>
      <c r="P8" s="3">
        <v>43485.8497337963</v>
      </c>
    </row>
    <row r="9" spans="1:16">
      <c r="A9" s="1">
        <v>47</v>
      </c>
      <c r="B9" s="2" t="s">
        <v>86</v>
      </c>
      <c r="C9" s="2" t="s">
        <v>87</v>
      </c>
      <c r="D9" s="2" t="s">
        <v>88</v>
      </c>
      <c r="E9" s="2" t="s">
        <v>27</v>
      </c>
      <c r="F9" s="2" t="s">
        <v>31</v>
      </c>
      <c r="G9" s="2" t="s">
        <v>35</v>
      </c>
      <c r="H9" s="2" t="s">
        <v>40</v>
      </c>
      <c r="I9" s="2" t="s">
        <v>89</v>
      </c>
      <c r="J9" s="2" t="s">
        <v>66</v>
      </c>
      <c r="K9" s="2" t="s">
        <v>90</v>
      </c>
      <c r="L9" s="2" t="s">
        <v>27</v>
      </c>
      <c r="M9" s="2" t="s">
        <v>91</v>
      </c>
      <c r="N9" s="2" t="s">
        <v>92</v>
      </c>
      <c r="O9" s="2" t="s">
        <v>62</v>
      </c>
      <c r="P9" s="3">
        <v>43485.8497337963</v>
      </c>
    </row>
    <row r="10" spans="1:16">
      <c r="A10" s="1">
        <v>46</v>
      </c>
      <c r="B10" s="2" t="s">
        <v>86</v>
      </c>
      <c r="C10" s="2" t="s">
        <v>87</v>
      </c>
      <c r="D10" s="2" t="s">
        <v>88</v>
      </c>
      <c r="E10" s="2" t="s">
        <v>27</v>
      </c>
      <c r="F10" s="2" t="s">
        <v>31</v>
      </c>
      <c r="G10" s="2" t="s">
        <v>93</v>
      </c>
      <c r="H10" s="2" t="s">
        <v>40</v>
      </c>
      <c r="I10" s="2" t="s">
        <v>89</v>
      </c>
      <c r="J10" s="2" t="s">
        <v>66</v>
      </c>
      <c r="K10" s="2" t="s">
        <v>90</v>
      </c>
      <c r="L10" s="2" t="s">
        <v>27</v>
      </c>
      <c r="M10" s="2" t="s">
        <v>91</v>
      </c>
      <c r="N10" s="2" t="s">
        <v>92</v>
      </c>
      <c r="O10" s="2" t="s">
        <v>62</v>
      </c>
      <c r="P10" s="3">
        <v>43485.8496064815</v>
      </c>
    </row>
    <row r="11" spans="1:16">
      <c r="A11" s="1">
        <v>45</v>
      </c>
      <c r="B11" s="2" t="s">
        <v>86</v>
      </c>
      <c r="C11" s="2" t="s">
        <v>87</v>
      </c>
      <c r="D11" s="2" t="s">
        <v>88</v>
      </c>
      <c r="E11" s="2" t="s">
        <v>27</v>
      </c>
      <c r="F11" s="2" t="s">
        <v>31</v>
      </c>
      <c r="G11" s="2" t="s">
        <v>94</v>
      </c>
      <c r="H11" s="2" t="s">
        <v>40</v>
      </c>
      <c r="I11" s="2" t="s">
        <v>89</v>
      </c>
      <c r="J11" s="2" t="s">
        <v>66</v>
      </c>
      <c r="K11" s="2" t="s">
        <v>90</v>
      </c>
      <c r="L11" s="2" t="s">
        <v>27</v>
      </c>
      <c r="M11" s="2" t="s">
        <v>91</v>
      </c>
      <c r="N11" s="2" t="s">
        <v>92</v>
      </c>
      <c r="O11" s="2" t="s">
        <v>62</v>
      </c>
      <c r="P11" s="3">
        <v>43482.3750347222</v>
      </c>
    </row>
    <row r="12" spans="1:16">
      <c r="A12" s="1">
        <v>44</v>
      </c>
      <c r="B12" s="2" t="s">
        <v>86</v>
      </c>
      <c r="C12" s="2" t="s">
        <v>87</v>
      </c>
      <c r="D12" s="2" t="s">
        <v>88</v>
      </c>
      <c r="E12" s="2" t="s">
        <v>27</v>
      </c>
      <c r="F12" s="2" t="s">
        <v>31</v>
      </c>
      <c r="G12" s="2" t="s">
        <v>95</v>
      </c>
      <c r="H12" s="2" t="s">
        <v>40</v>
      </c>
      <c r="I12" s="2" t="s">
        <v>89</v>
      </c>
      <c r="J12" s="2" t="s">
        <v>66</v>
      </c>
      <c r="K12" s="2" t="s">
        <v>90</v>
      </c>
      <c r="L12" s="2" t="s">
        <v>27</v>
      </c>
      <c r="M12" s="2" t="s">
        <v>91</v>
      </c>
      <c r="N12" s="2" t="s">
        <v>96</v>
      </c>
      <c r="O12" s="2" t="s">
        <v>62</v>
      </c>
      <c r="P12" s="3">
        <v>43482.3750347222</v>
      </c>
    </row>
    <row r="13" spans="1:16">
      <c r="A13" s="1">
        <v>43</v>
      </c>
      <c r="B13" s="2" t="s">
        <v>86</v>
      </c>
      <c r="C13" s="2" t="s">
        <v>87</v>
      </c>
      <c r="D13" s="2" t="s">
        <v>88</v>
      </c>
      <c r="E13" s="2" t="s">
        <v>27</v>
      </c>
      <c r="F13" s="2" t="s">
        <v>31</v>
      </c>
      <c r="G13" s="2" t="s">
        <v>97</v>
      </c>
      <c r="H13" s="2" t="s">
        <v>40</v>
      </c>
      <c r="I13" s="2" t="s">
        <v>89</v>
      </c>
      <c r="J13" s="2" t="s">
        <v>66</v>
      </c>
      <c r="K13" s="2" t="s">
        <v>90</v>
      </c>
      <c r="L13" s="2" t="s">
        <v>27</v>
      </c>
      <c r="M13" s="2" t="s">
        <v>91</v>
      </c>
      <c r="N13" s="2" t="s">
        <v>96</v>
      </c>
      <c r="O13" s="2" t="s">
        <v>62</v>
      </c>
      <c r="P13" s="3">
        <v>43482.3750347222</v>
      </c>
    </row>
    <row r="14" spans="1:16">
      <c r="A14" s="1">
        <v>42</v>
      </c>
      <c r="B14" s="2" t="s">
        <v>98</v>
      </c>
      <c r="C14" s="2" t="s">
        <v>99</v>
      </c>
      <c r="D14" s="2" t="s">
        <v>82</v>
      </c>
      <c r="E14" s="2" t="s">
        <v>100</v>
      </c>
      <c r="F14" s="2" t="s">
        <v>70</v>
      </c>
      <c r="G14" s="2" t="s">
        <v>101</v>
      </c>
      <c r="H14" s="2" t="s">
        <v>40</v>
      </c>
      <c r="I14" s="2" t="s">
        <v>102</v>
      </c>
      <c r="J14" s="2" t="s">
        <v>66</v>
      </c>
      <c r="K14" s="2" t="s">
        <v>103</v>
      </c>
      <c r="L14" s="2" t="s">
        <v>27</v>
      </c>
      <c r="M14" s="2" t="s">
        <v>91</v>
      </c>
      <c r="N14" s="2" t="s">
        <v>104</v>
      </c>
      <c r="O14" s="2" t="s">
        <v>62</v>
      </c>
      <c r="P14" s="3">
        <v>43482.3750347222</v>
      </c>
    </row>
    <row r="15" spans="1:16">
      <c r="A15" s="1">
        <v>41</v>
      </c>
      <c r="B15" s="2" t="s">
        <v>105</v>
      </c>
      <c r="C15" s="2" t="s">
        <v>106</v>
      </c>
      <c r="D15" s="2" t="s">
        <v>107</v>
      </c>
      <c r="E15" s="2" t="s">
        <v>27</v>
      </c>
      <c r="F15" s="2" t="s">
        <v>31</v>
      </c>
      <c r="G15" s="2" t="s">
        <v>108</v>
      </c>
      <c r="H15" s="2" t="s">
        <v>40</v>
      </c>
      <c r="I15" s="2" t="s">
        <v>109</v>
      </c>
      <c r="J15" s="2" t="s">
        <v>73</v>
      </c>
      <c r="K15" s="2" t="s">
        <v>110</v>
      </c>
      <c r="L15" s="2" t="s">
        <v>111</v>
      </c>
      <c r="M15" s="2" t="s">
        <v>112</v>
      </c>
      <c r="N15" s="2" t="s">
        <v>113</v>
      </c>
      <c r="O15" s="2" t="s">
        <v>62</v>
      </c>
      <c r="P15" s="3">
        <v>43482.3750347222</v>
      </c>
    </row>
    <row r="16" spans="1:16">
      <c r="A16" s="1">
        <v>40</v>
      </c>
      <c r="B16" s="2" t="s">
        <v>105</v>
      </c>
      <c r="C16" s="2" t="s">
        <v>106</v>
      </c>
      <c r="D16" s="2" t="s">
        <v>107</v>
      </c>
      <c r="E16" s="2" t="s">
        <v>27</v>
      </c>
      <c r="F16" s="2" t="s">
        <v>31</v>
      </c>
      <c r="G16" s="2" t="s">
        <v>108</v>
      </c>
      <c r="H16" s="2" t="s">
        <v>40</v>
      </c>
      <c r="I16" s="2" t="s">
        <v>109</v>
      </c>
      <c r="J16" s="2" t="s">
        <v>73</v>
      </c>
      <c r="K16" s="2" t="s">
        <v>114</v>
      </c>
      <c r="L16" s="2" t="s">
        <v>115</v>
      </c>
      <c r="M16" s="2" t="s">
        <v>112</v>
      </c>
      <c r="N16" s="2" t="s">
        <v>113</v>
      </c>
      <c r="O16" s="2" t="s">
        <v>62</v>
      </c>
      <c r="P16" s="3">
        <v>43482.3750231481</v>
      </c>
    </row>
    <row r="17" spans="1:16">
      <c r="A17" s="1">
        <v>39</v>
      </c>
      <c r="B17" s="2" t="s">
        <v>105</v>
      </c>
      <c r="C17" s="2" t="s">
        <v>106</v>
      </c>
      <c r="D17" s="2" t="s">
        <v>107</v>
      </c>
      <c r="E17" s="2" t="s">
        <v>27</v>
      </c>
      <c r="F17" s="2" t="s">
        <v>31</v>
      </c>
      <c r="G17" s="2" t="s">
        <v>108</v>
      </c>
      <c r="H17" s="2" t="s">
        <v>40</v>
      </c>
      <c r="I17" s="2" t="s">
        <v>109</v>
      </c>
      <c r="J17" s="2" t="s">
        <v>73</v>
      </c>
      <c r="K17" s="2" t="s">
        <v>116</v>
      </c>
      <c r="L17" s="2" t="s">
        <v>117</v>
      </c>
      <c r="M17" s="2" t="s">
        <v>91</v>
      </c>
      <c r="N17" s="2" t="s">
        <v>113</v>
      </c>
      <c r="O17" s="2" t="s">
        <v>62</v>
      </c>
      <c r="P17" s="3">
        <v>43482.3750231481</v>
      </c>
    </row>
    <row r="18" spans="1:16">
      <c r="A18" s="1">
        <v>38</v>
      </c>
      <c r="B18" s="2" t="s">
        <v>105</v>
      </c>
      <c r="C18" s="2" t="s">
        <v>106</v>
      </c>
      <c r="D18" s="2" t="s">
        <v>107</v>
      </c>
      <c r="E18" s="2" t="s">
        <v>27</v>
      </c>
      <c r="F18" s="2" t="s">
        <v>31</v>
      </c>
      <c r="G18" s="2" t="s">
        <v>108</v>
      </c>
      <c r="H18" s="2" t="s">
        <v>40</v>
      </c>
      <c r="I18" s="2" t="s">
        <v>109</v>
      </c>
      <c r="J18" s="2" t="s">
        <v>73</v>
      </c>
      <c r="K18" s="2" t="s">
        <v>118</v>
      </c>
      <c r="L18" s="2" t="s">
        <v>119</v>
      </c>
      <c r="M18" s="2" t="s">
        <v>112</v>
      </c>
      <c r="N18" s="2" t="s">
        <v>113</v>
      </c>
      <c r="O18" s="2" t="s">
        <v>62</v>
      </c>
      <c r="P18" s="3">
        <v>43482.3750231481</v>
      </c>
    </row>
    <row r="19" spans="1:16">
      <c r="A19" s="1">
        <v>37</v>
      </c>
      <c r="B19" s="2" t="s">
        <v>105</v>
      </c>
      <c r="C19" s="2" t="s">
        <v>106</v>
      </c>
      <c r="D19" s="2" t="s">
        <v>107</v>
      </c>
      <c r="E19" s="2" t="s">
        <v>27</v>
      </c>
      <c r="F19" s="2" t="s">
        <v>31</v>
      </c>
      <c r="G19" s="2" t="s">
        <v>108</v>
      </c>
      <c r="H19" s="2" t="s">
        <v>40</v>
      </c>
      <c r="I19" s="2" t="s">
        <v>109</v>
      </c>
      <c r="J19" s="2" t="s">
        <v>73</v>
      </c>
      <c r="K19" s="2" t="s">
        <v>120</v>
      </c>
      <c r="L19" s="2" t="s">
        <v>121</v>
      </c>
      <c r="M19" s="2" t="s">
        <v>91</v>
      </c>
      <c r="N19" s="2" t="s">
        <v>113</v>
      </c>
      <c r="O19" s="2" t="s">
        <v>62</v>
      </c>
      <c r="P19" s="3">
        <v>43482.3749421296</v>
      </c>
    </row>
    <row r="20" spans="1:16">
      <c r="A20" s="1">
        <v>36</v>
      </c>
      <c r="B20" s="2" t="s">
        <v>105</v>
      </c>
      <c r="C20" s="2" t="s">
        <v>106</v>
      </c>
      <c r="D20" s="2" t="s">
        <v>107</v>
      </c>
      <c r="E20" s="2" t="s">
        <v>27</v>
      </c>
      <c r="F20" s="2" t="s">
        <v>31</v>
      </c>
      <c r="G20" s="2" t="s">
        <v>108</v>
      </c>
      <c r="H20" s="2" t="s">
        <v>40</v>
      </c>
      <c r="I20" s="2" t="s">
        <v>109</v>
      </c>
      <c r="J20" s="2" t="s">
        <v>73</v>
      </c>
      <c r="K20" s="2" t="s">
        <v>122</v>
      </c>
      <c r="L20" s="2" t="s">
        <v>123</v>
      </c>
      <c r="M20" s="2" t="s">
        <v>112</v>
      </c>
      <c r="N20" s="2" t="s">
        <v>113</v>
      </c>
      <c r="O20" s="2" t="s">
        <v>62</v>
      </c>
      <c r="P20" s="3">
        <v>43479.8896759259</v>
      </c>
    </row>
    <row r="21" spans="1:16">
      <c r="A21" s="1">
        <v>35</v>
      </c>
      <c r="B21" s="2" t="s">
        <v>105</v>
      </c>
      <c r="C21" s="2" t="s">
        <v>106</v>
      </c>
      <c r="D21" s="2" t="s">
        <v>107</v>
      </c>
      <c r="E21" s="2" t="s">
        <v>27</v>
      </c>
      <c r="F21" s="2" t="s">
        <v>31</v>
      </c>
      <c r="G21" s="2" t="s">
        <v>108</v>
      </c>
      <c r="H21" s="2" t="s">
        <v>40</v>
      </c>
      <c r="I21" s="2" t="s">
        <v>109</v>
      </c>
      <c r="J21" s="2" t="s">
        <v>73</v>
      </c>
      <c r="K21" s="2" t="s">
        <v>124</v>
      </c>
      <c r="L21" s="2" t="s">
        <v>125</v>
      </c>
      <c r="M21" s="2" t="s">
        <v>112</v>
      </c>
      <c r="N21" s="2" t="s">
        <v>113</v>
      </c>
      <c r="O21" s="2" t="s">
        <v>62</v>
      </c>
      <c r="P21" s="3">
        <v>43479.8896759259</v>
      </c>
    </row>
    <row r="22" spans="1:16">
      <c r="A22" s="1">
        <v>34</v>
      </c>
      <c r="B22" s="2" t="s">
        <v>105</v>
      </c>
      <c r="C22" s="2" t="s">
        <v>106</v>
      </c>
      <c r="D22" s="2" t="s">
        <v>107</v>
      </c>
      <c r="E22" s="2" t="s">
        <v>27</v>
      </c>
      <c r="F22" s="2" t="s">
        <v>31</v>
      </c>
      <c r="G22" s="2" t="s">
        <v>108</v>
      </c>
      <c r="H22" s="2" t="s">
        <v>40</v>
      </c>
      <c r="I22" s="2" t="s">
        <v>109</v>
      </c>
      <c r="J22" s="2" t="s">
        <v>73</v>
      </c>
      <c r="K22" s="2" t="s">
        <v>126</v>
      </c>
      <c r="L22" s="2" t="s">
        <v>127</v>
      </c>
      <c r="M22" s="2" t="s">
        <v>91</v>
      </c>
      <c r="N22" s="2" t="s">
        <v>113</v>
      </c>
      <c r="O22" s="2" t="s">
        <v>62</v>
      </c>
      <c r="P22" s="3">
        <v>43479.8896759259</v>
      </c>
    </row>
    <row r="23" spans="1:16">
      <c r="A23" s="1">
        <v>33</v>
      </c>
      <c r="B23" s="2" t="s">
        <v>105</v>
      </c>
      <c r="C23" s="2" t="s">
        <v>106</v>
      </c>
      <c r="D23" s="2" t="s">
        <v>107</v>
      </c>
      <c r="E23" s="2" t="s">
        <v>27</v>
      </c>
      <c r="F23" s="2" t="s">
        <v>31</v>
      </c>
      <c r="G23" s="2" t="s">
        <v>108</v>
      </c>
      <c r="H23" s="2" t="s">
        <v>40</v>
      </c>
      <c r="I23" s="2" t="s">
        <v>109</v>
      </c>
      <c r="J23" s="2" t="s">
        <v>73</v>
      </c>
      <c r="K23" s="2" t="s">
        <v>128</v>
      </c>
      <c r="L23" s="2" t="s">
        <v>129</v>
      </c>
      <c r="M23" s="2" t="s">
        <v>112</v>
      </c>
      <c r="N23" s="2" t="s">
        <v>113</v>
      </c>
      <c r="O23" s="2" t="s">
        <v>62</v>
      </c>
      <c r="P23" s="3">
        <v>43479.8896643519</v>
      </c>
    </row>
    <row r="24" spans="1:16">
      <c r="A24" s="1">
        <v>32</v>
      </c>
      <c r="B24" s="2" t="s">
        <v>105</v>
      </c>
      <c r="C24" s="2" t="s">
        <v>106</v>
      </c>
      <c r="D24" s="2" t="s">
        <v>107</v>
      </c>
      <c r="E24" s="2" t="s">
        <v>27</v>
      </c>
      <c r="F24" s="2" t="s">
        <v>31</v>
      </c>
      <c r="G24" s="2" t="s">
        <v>108</v>
      </c>
      <c r="H24" s="2" t="s">
        <v>40</v>
      </c>
      <c r="I24" s="2" t="s">
        <v>109</v>
      </c>
      <c r="J24" s="2" t="s">
        <v>73</v>
      </c>
      <c r="K24" s="2" t="s">
        <v>130</v>
      </c>
      <c r="L24" s="2" t="s">
        <v>131</v>
      </c>
      <c r="M24" s="2" t="s">
        <v>112</v>
      </c>
      <c r="N24" s="2" t="s">
        <v>113</v>
      </c>
      <c r="O24" s="2" t="s">
        <v>62</v>
      </c>
      <c r="P24" s="3">
        <v>43479.8896643519</v>
      </c>
    </row>
    <row r="25" spans="1:16">
      <c r="A25" s="1">
        <v>31</v>
      </c>
      <c r="B25" s="2" t="s">
        <v>105</v>
      </c>
      <c r="C25" s="2" t="s">
        <v>106</v>
      </c>
      <c r="D25" s="2" t="s">
        <v>107</v>
      </c>
      <c r="E25" s="2" t="s">
        <v>27</v>
      </c>
      <c r="F25" s="2" t="s">
        <v>31</v>
      </c>
      <c r="G25" s="2" t="s">
        <v>108</v>
      </c>
      <c r="H25" s="2" t="s">
        <v>40</v>
      </c>
      <c r="I25" s="2" t="s">
        <v>109</v>
      </c>
      <c r="J25" s="2" t="s">
        <v>73</v>
      </c>
      <c r="K25" s="2" t="s">
        <v>132</v>
      </c>
      <c r="L25" s="2" t="s">
        <v>133</v>
      </c>
      <c r="M25" s="2" t="s">
        <v>112</v>
      </c>
      <c r="N25" s="2" t="s">
        <v>113</v>
      </c>
      <c r="O25" s="2" t="s">
        <v>62</v>
      </c>
      <c r="P25" s="3">
        <v>43479.8896643519</v>
      </c>
    </row>
    <row r="26" spans="1:16">
      <c r="A26" s="1">
        <v>30</v>
      </c>
      <c r="B26" s="2" t="s">
        <v>105</v>
      </c>
      <c r="C26" s="2" t="s">
        <v>106</v>
      </c>
      <c r="D26" s="2" t="s">
        <v>107</v>
      </c>
      <c r="E26" s="2" t="s">
        <v>27</v>
      </c>
      <c r="F26" s="2" t="s">
        <v>31</v>
      </c>
      <c r="G26" s="2" t="s">
        <v>108</v>
      </c>
      <c r="H26" s="2" t="s">
        <v>40</v>
      </c>
      <c r="I26" s="2" t="s">
        <v>109</v>
      </c>
      <c r="J26" s="2" t="s">
        <v>73</v>
      </c>
      <c r="K26" s="2" t="s">
        <v>134</v>
      </c>
      <c r="L26" s="2" t="s">
        <v>135</v>
      </c>
      <c r="M26" s="2" t="s">
        <v>91</v>
      </c>
      <c r="N26" s="2" t="s">
        <v>113</v>
      </c>
      <c r="O26" s="2" t="s">
        <v>62</v>
      </c>
      <c r="P26" s="3">
        <v>43479.8896643519</v>
      </c>
    </row>
    <row r="27" spans="1:16">
      <c r="A27" s="1">
        <v>29</v>
      </c>
      <c r="B27" s="2" t="s">
        <v>105</v>
      </c>
      <c r="C27" s="2" t="s">
        <v>106</v>
      </c>
      <c r="D27" s="2" t="s">
        <v>107</v>
      </c>
      <c r="E27" s="2" t="s">
        <v>27</v>
      </c>
      <c r="F27" s="2" t="s">
        <v>31</v>
      </c>
      <c r="G27" s="2" t="s">
        <v>108</v>
      </c>
      <c r="H27" s="2" t="s">
        <v>40</v>
      </c>
      <c r="I27" s="2" t="s">
        <v>109</v>
      </c>
      <c r="J27" s="2" t="s">
        <v>73</v>
      </c>
      <c r="K27" s="2" t="s">
        <v>136</v>
      </c>
      <c r="L27" s="2" t="s">
        <v>137</v>
      </c>
      <c r="M27" s="2" t="s">
        <v>91</v>
      </c>
      <c r="N27" s="2" t="s">
        <v>113</v>
      </c>
      <c r="O27" s="2" t="s">
        <v>62</v>
      </c>
      <c r="P27" s="3">
        <v>43479.8896643519</v>
      </c>
    </row>
    <row r="28" spans="1:16">
      <c r="A28" s="1">
        <v>28</v>
      </c>
      <c r="B28" s="2" t="s">
        <v>105</v>
      </c>
      <c r="C28" s="2" t="s">
        <v>106</v>
      </c>
      <c r="D28" s="2" t="s">
        <v>107</v>
      </c>
      <c r="E28" s="2" t="s">
        <v>27</v>
      </c>
      <c r="F28" s="2" t="s">
        <v>31</v>
      </c>
      <c r="G28" s="2" t="s">
        <v>108</v>
      </c>
      <c r="H28" s="2" t="s">
        <v>40</v>
      </c>
      <c r="I28" s="2" t="s">
        <v>109</v>
      </c>
      <c r="J28" s="2" t="s">
        <v>73</v>
      </c>
      <c r="K28" s="2" t="s">
        <v>138</v>
      </c>
      <c r="L28" s="2" t="s">
        <v>139</v>
      </c>
      <c r="M28" s="2" t="s">
        <v>91</v>
      </c>
      <c r="N28" s="2" t="s">
        <v>113</v>
      </c>
      <c r="O28" s="2" t="s">
        <v>62</v>
      </c>
      <c r="P28" s="3">
        <v>43479.8895949074</v>
      </c>
    </row>
    <row r="29" spans="1:16">
      <c r="A29" s="1">
        <v>27</v>
      </c>
      <c r="B29" s="2" t="s">
        <v>105</v>
      </c>
      <c r="C29" s="2" t="s">
        <v>106</v>
      </c>
      <c r="D29" s="2" t="s">
        <v>107</v>
      </c>
      <c r="E29" s="2" t="s">
        <v>27</v>
      </c>
      <c r="F29" s="2" t="s">
        <v>31</v>
      </c>
      <c r="G29" s="2" t="s">
        <v>108</v>
      </c>
      <c r="H29" s="2" t="s">
        <v>40</v>
      </c>
      <c r="I29" s="2" t="s">
        <v>109</v>
      </c>
      <c r="J29" s="2" t="s">
        <v>73</v>
      </c>
      <c r="K29" s="2" t="s">
        <v>140</v>
      </c>
      <c r="L29" s="2" t="s">
        <v>141</v>
      </c>
      <c r="M29" s="2" t="s">
        <v>91</v>
      </c>
      <c r="N29" s="2" t="s">
        <v>113</v>
      </c>
      <c r="O29" s="2" t="s">
        <v>62</v>
      </c>
      <c r="P29" s="3">
        <v>43479.8824884259</v>
      </c>
    </row>
    <row r="30" spans="1:16">
      <c r="A30" s="1">
        <v>26</v>
      </c>
      <c r="B30" s="2" t="s">
        <v>105</v>
      </c>
      <c r="C30" s="2" t="s">
        <v>106</v>
      </c>
      <c r="D30" s="2" t="s">
        <v>107</v>
      </c>
      <c r="E30" s="2" t="s">
        <v>27</v>
      </c>
      <c r="F30" s="2" t="s">
        <v>31</v>
      </c>
      <c r="G30" s="2" t="s">
        <v>108</v>
      </c>
      <c r="H30" s="2" t="s">
        <v>40</v>
      </c>
      <c r="I30" s="2" t="s">
        <v>109</v>
      </c>
      <c r="J30" s="2" t="s">
        <v>73</v>
      </c>
      <c r="K30" s="2" t="s">
        <v>142</v>
      </c>
      <c r="L30" s="2" t="s">
        <v>143</v>
      </c>
      <c r="M30" s="2" t="s">
        <v>91</v>
      </c>
      <c r="N30" s="2" t="s">
        <v>113</v>
      </c>
      <c r="O30" s="2" t="s">
        <v>62</v>
      </c>
      <c r="P30" s="3">
        <v>43479.8824884259</v>
      </c>
    </row>
    <row r="31" spans="1:16">
      <c r="A31" s="1">
        <v>25</v>
      </c>
      <c r="B31" s="2" t="s">
        <v>105</v>
      </c>
      <c r="C31" s="2" t="s">
        <v>106</v>
      </c>
      <c r="D31" s="2" t="s">
        <v>107</v>
      </c>
      <c r="E31" s="2" t="s">
        <v>27</v>
      </c>
      <c r="F31" s="2" t="s">
        <v>31</v>
      </c>
      <c r="G31" s="2" t="s">
        <v>108</v>
      </c>
      <c r="H31" s="2" t="s">
        <v>40</v>
      </c>
      <c r="I31" s="2" t="s">
        <v>109</v>
      </c>
      <c r="J31" s="2" t="s">
        <v>73</v>
      </c>
      <c r="K31" s="2" t="s">
        <v>144</v>
      </c>
      <c r="L31" s="2" t="s">
        <v>127</v>
      </c>
      <c r="M31" s="2" t="s">
        <v>91</v>
      </c>
      <c r="N31" s="2" t="s">
        <v>113</v>
      </c>
      <c r="O31" s="2" t="s">
        <v>62</v>
      </c>
      <c r="P31" s="3">
        <v>43479.8824884259</v>
      </c>
    </row>
    <row r="32" spans="1:16">
      <c r="A32" s="1">
        <v>24</v>
      </c>
      <c r="B32" s="2" t="s">
        <v>105</v>
      </c>
      <c r="C32" s="2" t="s">
        <v>106</v>
      </c>
      <c r="D32" s="2" t="s">
        <v>107</v>
      </c>
      <c r="E32" s="2" t="s">
        <v>27</v>
      </c>
      <c r="F32" s="2" t="s">
        <v>31</v>
      </c>
      <c r="G32" s="2" t="s">
        <v>108</v>
      </c>
      <c r="H32" s="2" t="s">
        <v>40</v>
      </c>
      <c r="I32" s="2" t="s">
        <v>109</v>
      </c>
      <c r="J32" s="2" t="s">
        <v>73</v>
      </c>
      <c r="K32" s="2" t="s">
        <v>134</v>
      </c>
      <c r="L32" s="2" t="s">
        <v>135</v>
      </c>
      <c r="M32" s="2" t="s">
        <v>91</v>
      </c>
      <c r="N32" s="2" t="s">
        <v>113</v>
      </c>
      <c r="O32" s="2" t="s">
        <v>62</v>
      </c>
      <c r="P32" s="3">
        <v>43479.8824768519</v>
      </c>
    </row>
    <row r="33" spans="1:16">
      <c r="A33" s="1">
        <v>23</v>
      </c>
      <c r="B33" s="2" t="s">
        <v>105</v>
      </c>
      <c r="C33" s="2" t="s">
        <v>106</v>
      </c>
      <c r="D33" s="2" t="s">
        <v>107</v>
      </c>
      <c r="E33" s="2" t="s">
        <v>27</v>
      </c>
      <c r="F33" s="2" t="s">
        <v>31</v>
      </c>
      <c r="G33" s="2" t="s">
        <v>108</v>
      </c>
      <c r="H33" s="2" t="s">
        <v>40</v>
      </c>
      <c r="I33" s="2" t="s">
        <v>109</v>
      </c>
      <c r="J33" s="2" t="s">
        <v>73</v>
      </c>
      <c r="K33" s="2" t="s">
        <v>145</v>
      </c>
      <c r="L33" s="2" t="s">
        <v>129</v>
      </c>
      <c r="M33" s="2" t="s">
        <v>112</v>
      </c>
      <c r="N33" s="2" t="s">
        <v>113</v>
      </c>
      <c r="O33" s="2" t="s">
        <v>62</v>
      </c>
      <c r="P33" s="3">
        <v>43479.8824768519</v>
      </c>
    </row>
    <row r="34" spans="1:16">
      <c r="A34" s="1">
        <v>22</v>
      </c>
      <c r="B34" s="2" t="s">
        <v>105</v>
      </c>
      <c r="C34" s="2" t="s">
        <v>106</v>
      </c>
      <c r="D34" s="2" t="s">
        <v>107</v>
      </c>
      <c r="E34" s="2" t="s">
        <v>27</v>
      </c>
      <c r="F34" s="2" t="s">
        <v>31</v>
      </c>
      <c r="G34" s="2" t="s">
        <v>108</v>
      </c>
      <c r="H34" s="2" t="s">
        <v>40</v>
      </c>
      <c r="I34" s="2" t="s">
        <v>109</v>
      </c>
      <c r="J34" s="2" t="s">
        <v>73</v>
      </c>
      <c r="K34" s="2" t="s">
        <v>146</v>
      </c>
      <c r="L34" s="2" t="s">
        <v>147</v>
      </c>
      <c r="M34" s="2" t="s">
        <v>91</v>
      </c>
      <c r="N34" s="2" t="s">
        <v>113</v>
      </c>
      <c r="O34" s="2" t="s">
        <v>62</v>
      </c>
      <c r="P34" s="3">
        <v>43479.8824768519</v>
      </c>
    </row>
    <row r="35" spans="1:16">
      <c r="A35" s="1">
        <v>21</v>
      </c>
      <c r="B35" s="2" t="s">
        <v>105</v>
      </c>
      <c r="C35" s="2" t="s">
        <v>106</v>
      </c>
      <c r="D35" s="2" t="s">
        <v>107</v>
      </c>
      <c r="E35" s="2" t="s">
        <v>27</v>
      </c>
      <c r="F35" s="2" t="s">
        <v>31</v>
      </c>
      <c r="G35" s="2" t="s">
        <v>108</v>
      </c>
      <c r="H35" s="2" t="s">
        <v>40</v>
      </c>
      <c r="I35" s="2" t="s">
        <v>109</v>
      </c>
      <c r="J35" s="2" t="s">
        <v>73</v>
      </c>
      <c r="K35" s="2" t="s">
        <v>148</v>
      </c>
      <c r="L35" s="2" t="s">
        <v>149</v>
      </c>
      <c r="M35" s="2" t="s">
        <v>91</v>
      </c>
      <c r="N35" s="2" t="s">
        <v>113</v>
      </c>
      <c r="O35" s="2" t="s">
        <v>62</v>
      </c>
      <c r="P35" s="3">
        <v>43479.8824768519</v>
      </c>
    </row>
    <row r="36" spans="1:16">
      <c r="A36" s="1">
        <v>20</v>
      </c>
      <c r="B36" s="2" t="s">
        <v>105</v>
      </c>
      <c r="C36" s="2" t="s">
        <v>106</v>
      </c>
      <c r="D36" s="2" t="s">
        <v>107</v>
      </c>
      <c r="E36" s="2" t="s">
        <v>27</v>
      </c>
      <c r="F36" s="2" t="s">
        <v>31</v>
      </c>
      <c r="G36" s="2" t="s">
        <v>108</v>
      </c>
      <c r="H36" s="2" t="s">
        <v>40</v>
      </c>
      <c r="I36" s="2" t="s">
        <v>109</v>
      </c>
      <c r="J36" s="2" t="s">
        <v>73</v>
      </c>
      <c r="K36" s="2" t="s">
        <v>150</v>
      </c>
      <c r="L36" s="2" t="s">
        <v>151</v>
      </c>
      <c r="M36" s="2" t="s">
        <v>91</v>
      </c>
      <c r="N36" s="2" t="s">
        <v>113</v>
      </c>
      <c r="O36" s="2" t="s">
        <v>62</v>
      </c>
      <c r="P36" s="3">
        <v>43479.8824768519</v>
      </c>
    </row>
    <row r="37" spans="1:16">
      <c r="A37" s="1">
        <v>19</v>
      </c>
      <c r="B37" s="2" t="s">
        <v>105</v>
      </c>
      <c r="C37" s="2" t="s">
        <v>106</v>
      </c>
      <c r="D37" s="2" t="s">
        <v>107</v>
      </c>
      <c r="E37" s="2" t="s">
        <v>27</v>
      </c>
      <c r="F37" s="2" t="s">
        <v>31</v>
      </c>
      <c r="G37" s="2" t="s">
        <v>108</v>
      </c>
      <c r="H37" s="2" t="s">
        <v>40</v>
      </c>
      <c r="I37" s="2" t="s">
        <v>109</v>
      </c>
      <c r="J37" s="2" t="s">
        <v>73</v>
      </c>
      <c r="K37" s="2" t="s">
        <v>152</v>
      </c>
      <c r="L37" s="2" t="s">
        <v>153</v>
      </c>
      <c r="M37" s="2" t="s">
        <v>91</v>
      </c>
      <c r="N37" s="2" t="s">
        <v>113</v>
      </c>
      <c r="O37" s="2" t="s">
        <v>62</v>
      </c>
      <c r="P37" s="3">
        <v>43479.8824189815</v>
      </c>
    </row>
    <row r="38" spans="1:16">
      <c r="A38" s="1">
        <v>18</v>
      </c>
      <c r="B38" s="2" t="s">
        <v>105</v>
      </c>
      <c r="C38" s="2" t="s">
        <v>106</v>
      </c>
      <c r="D38" s="2" t="s">
        <v>107</v>
      </c>
      <c r="E38" s="2" t="s">
        <v>27</v>
      </c>
      <c r="F38" s="2" t="s">
        <v>31</v>
      </c>
      <c r="G38" s="2" t="s">
        <v>108</v>
      </c>
      <c r="H38" s="2" t="s">
        <v>40</v>
      </c>
      <c r="I38" s="2" t="s">
        <v>109</v>
      </c>
      <c r="J38" s="2" t="s">
        <v>73</v>
      </c>
      <c r="K38" s="2" t="s">
        <v>154</v>
      </c>
      <c r="L38" s="2" t="s">
        <v>155</v>
      </c>
      <c r="M38" s="2" t="s">
        <v>91</v>
      </c>
      <c r="N38" s="2" t="s">
        <v>113</v>
      </c>
      <c r="O38" s="2" t="s">
        <v>62</v>
      </c>
      <c r="P38" s="3">
        <v>43479.8728819444</v>
      </c>
    </row>
    <row r="39" spans="1:16">
      <c r="A39" s="1">
        <v>17</v>
      </c>
      <c r="B39" s="2" t="s">
        <v>105</v>
      </c>
      <c r="C39" s="2" t="s">
        <v>106</v>
      </c>
      <c r="D39" s="2" t="s">
        <v>107</v>
      </c>
      <c r="E39" s="2" t="s">
        <v>27</v>
      </c>
      <c r="F39" s="2" t="s">
        <v>31</v>
      </c>
      <c r="G39" s="2" t="s">
        <v>108</v>
      </c>
      <c r="H39" s="2" t="s">
        <v>40</v>
      </c>
      <c r="I39" s="2" t="s">
        <v>109</v>
      </c>
      <c r="J39" s="2" t="s">
        <v>73</v>
      </c>
      <c r="K39" s="2" t="s">
        <v>156</v>
      </c>
      <c r="L39" s="2" t="s">
        <v>157</v>
      </c>
      <c r="M39" s="2" t="s">
        <v>91</v>
      </c>
      <c r="N39" s="2" t="s">
        <v>113</v>
      </c>
      <c r="O39" s="2" t="s">
        <v>62</v>
      </c>
      <c r="P39" s="3">
        <v>43479.8728819444</v>
      </c>
    </row>
    <row r="40" spans="1:16">
      <c r="A40" s="1">
        <v>16</v>
      </c>
      <c r="B40" s="2" t="s">
        <v>105</v>
      </c>
      <c r="C40" s="2" t="s">
        <v>106</v>
      </c>
      <c r="D40" s="2" t="s">
        <v>107</v>
      </c>
      <c r="E40" s="2" t="s">
        <v>27</v>
      </c>
      <c r="F40" s="2" t="s">
        <v>31</v>
      </c>
      <c r="G40" s="2" t="s">
        <v>108</v>
      </c>
      <c r="H40" s="2" t="s">
        <v>40</v>
      </c>
      <c r="I40" s="2" t="s">
        <v>109</v>
      </c>
      <c r="J40" s="2" t="s">
        <v>73</v>
      </c>
      <c r="K40" s="2" t="s">
        <v>158</v>
      </c>
      <c r="L40" s="2" t="s">
        <v>159</v>
      </c>
      <c r="M40" s="2" t="s">
        <v>91</v>
      </c>
      <c r="N40" s="2" t="s">
        <v>113</v>
      </c>
      <c r="O40" s="2" t="s">
        <v>62</v>
      </c>
      <c r="P40" s="3">
        <v>43479.8728819444</v>
      </c>
    </row>
    <row r="41" spans="1:16">
      <c r="A41" s="1">
        <v>15</v>
      </c>
      <c r="B41" s="2" t="s">
        <v>105</v>
      </c>
      <c r="C41" s="2" t="s">
        <v>106</v>
      </c>
      <c r="D41" s="2" t="s">
        <v>107</v>
      </c>
      <c r="E41" s="2" t="s">
        <v>27</v>
      </c>
      <c r="F41" s="2" t="s">
        <v>31</v>
      </c>
      <c r="G41" s="2" t="s">
        <v>108</v>
      </c>
      <c r="H41" s="2" t="s">
        <v>40</v>
      </c>
      <c r="I41" s="2" t="s">
        <v>109</v>
      </c>
      <c r="J41" s="2" t="s">
        <v>73</v>
      </c>
      <c r="K41" s="2" t="s">
        <v>160</v>
      </c>
      <c r="L41" s="2" t="s">
        <v>161</v>
      </c>
      <c r="M41" s="2" t="s">
        <v>112</v>
      </c>
      <c r="N41" s="2" t="s">
        <v>113</v>
      </c>
      <c r="O41" s="2" t="s">
        <v>62</v>
      </c>
      <c r="P41" s="3">
        <v>43479.8728819444</v>
      </c>
    </row>
    <row r="42" spans="1:16">
      <c r="A42" s="1">
        <v>14</v>
      </c>
      <c r="B42" s="2" t="s">
        <v>105</v>
      </c>
      <c r="C42" s="2" t="s">
        <v>106</v>
      </c>
      <c r="D42" s="2" t="s">
        <v>107</v>
      </c>
      <c r="E42" s="2" t="s">
        <v>27</v>
      </c>
      <c r="F42" s="2" t="s">
        <v>31</v>
      </c>
      <c r="G42" s="2" t="s">
        <v>108</v>
      </c>
      <c r="H42" s="2" t="s">
        <v>40</v>
      </c>
      <c r="I42" s="2" t="s">
        <v>109</v>
      </c>
      <c r="J42" s="2" t="s">
        <v>73</v>
      </c>
      <c r="K42" s="2" t="s">
        <v>162</v>
      </c>
      <c r="L42" s="2" t="s">
        <v>163</v>
      </c>
      <c r="M42" s="2" t="s">
        <v>112</v>
      </c>
      <c r="N42" s="2" t="s">
        <v>113</v>
      </c>
      <c r="O42" s="2" t="s">
        <v>62</v>
      </c>
      <c r="P42" s="3">
        <v>43479.8728819444</v>
      </c>
    </row>
    <row r="43" spans="1:16">
      <c r="A43" s="1">
        <v>13</v>
      </c>
      <c r="B43" s="2" t="s">
        <v>105</v>
      </c>
      <c r="C43" s="2" t="s">
        <v>106</v>
      </c>
      <c r="D43" s="2" t="s">
        <v>107</v>
      </c>
      <c r="E43" s="2" t="s">
        <v>27</v>
      </c>
      <c r="F43" s="2" t="s">
        <v>31</v>
      </c>
      <c r="G43" s="2" t="s">
        <v>108</v>
      </c>
      <c r="H43" s="2" t="s">
        <v>40</v>
      </c>
      <c r="I43" s="2" t="s">
        <v>109</v>
      </c>
      <c r="J43" s="2" t="s">
        <v>73</v>
      </c>
      <c r="K43" s="2" t="s">
        <v>164</v>
      </c>
      <c r="L43" s="2" t="s">
        <v>165</v>
      </c>
      <c r="M43" s="2" t="s">
        <v>112</v>
      </c>
      <c r="N43" s="2" t="s">
        <v>113</v>
      </c>
      <c r="O43" s="2" t="s">
        <v>62</v>
      </c>
      <c r="P43" s="3">
        <v>43479.8728819444</v>
      </c>
    </row>
    <row r="44" spans="1:16">
      <c r="A44" s="1">
        <v>12</v>
      </c>
      <c r="B44" s="2" t="s">
        <v>105</v>
      </c>
      <c r="C44" s="2" t="s">
        <v>106</v>
      </c>
      <c r="D44" s="2" t="s">
        <v>107</v>
      </c>
      <c r="E44" s="2" t="s">
        <v>27</v>
      </c>
      <c r="F44" s="2" t="s">
        <v>31</v>
      </c>
      <c r="G44" s="2" t="s">
        <v>108</v>
      </c>
      <c r="H44" s="2" t="s">
        <v>40</v>
      </c>
      <c r="I44" s="2" t="s">
        <v>109</v>
      </c>
      <c r="J44" s="2" t="s">
        <v>73</v>
      </c>
      <c r="K44" s="2" t="s">
        <v>140</v>
      </c>
      <c r="L44" s="2" t="s">
        <v>141</v>
      </c>
      <c r="M44" s="2" t="s">
        <v>91</v>
      </c>
      <c r="N44" s="2" t="s">
        <v>113</v>
      </c>
      <c r="O44" s="2" t="s">
        <v>62</v>
      </c>
      <c r="P44" s="3">
        <v>43479.8728819444</v>
      </c>
    </row>
    <row r="45" spans="1:16">
      <c r="A45" s="1">
        <v>11</v>
      </c>
      <c r="B45" s="2" t="s">
        <v>105</v>
      </c>
      <c r="C45" s="2" t="s">
        <v>106</v>
      </c>
      <c r="D45" s="2" t="s">
        <v>107</v>
      </c>
      <c r="E45" s="2" t="s">
        <v>27</v>
      </c>
      <c r="F45" s="2" t="s">
        <v>31</v>
      </c>
      <c r="G45" s="2" t="s">
        <v>108</v>
      </c>
      <c r="H45" s="2" t="s">
        <v>40</v>
      </c>
      <c r="I45" s="2" t="s">
        <v>109</v>
      </c>
      <c r="J45" s="2" t="s">
        <v>73</v>
      </c>
      <c r="K45" s="2" t="s">
        <v>142</v>
      </c>
      <c r="L45" s="2" t="s">
        <v>166</v>
      </c>
      <c r="M45" s="2" t="s">
        <v>91</v>
      </c>
      <c r="N45" s="2" t="s">
        <v>113</v>
      </c>
      <c r="O45" s="2" t="s">
        <v>62</v>
      </c>
      <c r="P45" s="3">
        <v>43479.8728819444</v>
      </c>
    </row>
    <row r="46" spans="1:16">
      <c r="A46" s="1">
        <v>10</v>
      </c>
      <c r="B46" s="2" t="s">
        <v>105</v>
      </c>
      <c r="C46" s="2" t="s">
        <v>106</v>
      </c>
      <c r="D46" s="2" t="s">
        <v>107</v>
      </c>
      <c r="E46" s="2" t="s">
        <v>27</v>
      </c>
      <c r="F46" s="2" t="s">
        <v>31</v>
      </c>
      <c r="G46" s="2" t="s">
        <v>108</v>
      </c>
      <c r="H46" s="2" t="s">
        <v>40</v>
      </c>
      <c r="I46" s="2" t="s">
        <v>109</v>
      </c>
      <c r="J46" s="2" t="s">
        <v>73</v>
      </c>
      <c r="K46" s="2" t="s">
        <v>167</v>
      </c>
      <c r="L46" s="2" t="s">
        <v>168</v>
      </c>
      <c r="M46" s="2" t="s">
        <v>91</v>
      </c>
      <c r="N46" s="2" t="s">
        <v>113</v>
      </c>
      <c r="O46" s="2" t="s">
        <v>62</v>
      </c>
      <c r="P46" s="3">
        <v>43479.8728125</v>
      </c>
    </row>
    <row r="47" spans="1:16">
      <c r="A47" s="1">
        <v>9</v>
      </c>
      <c r="B47" s="2" t="s">
        <v>105</v>
      </c>
      <c r="C47" s="2" t="s">
        <v>106</v>
      </c>
      <c r="D47" s="2" t="s">
        <v>107</v>
      </c>
      <c r="E47" s="2" t="s">
        <v>27</v>
      </c>
      <c r="F47" s="2" t="s">
        <v>31</v>
      </c>
      <c r="G47" s="2" t="s">
        <v>108</v>
      </c>
      <c r="H47" s="2" t="s">
        <v>40</v>
      </c>
      <c r="I47" s="2" t="s">
        <v>109</v>
      </c>
      <c r="J47" s="2" t="s">
        <v>73</v>
      </c>
      <c r="K47" s="2" t="s">
        <v>169</v>
      </c>
      <c r="L47" s="2" t="s">
        <v>170</v>
      </c>
      <c r="M47" s="2" t="s">
        <v>91</v>
      </c>
      <c r="N47" s="2" t="s">
        <v>171</v>
      </c>
      <c r="O47" s="2" t="s">
        <v>62</v>
      </c>
      <c r="P47" s="3">
        <v>43479.8603819444</v>
      </c>
    </row>
    <row r="48" spans="1:16">
      <c r="A48" s="1">
        <v>8</v>
      </c>
      <c r="B48" s="2" t="s">
        <v>105</v>
      </c>
      <c r="C48" s="2" t="s">
        <v>106</v>
      </c>
      <c r="D48" s="2" t="s">
        <v>107</v>
      </c>
      <c r="E48" s="2" t="s">
        <v>27</v>
      </c>
      <c r="F48" s="2" t="s">
        <v>31</v>
      </c>
      <c r="G48" s="2" t="s">
        <v>108</v>
      </c>
      <c r="H48" s="2" t="s">
        <v>40</v>
      </c>
      <c r="I48" s="2" t="s">
        <v>109</v>
      </c>
      <c r="J48" s="2" t="s">
        <v>73</v>
      </c>
      <c r="K48" s="2" t="s">
        <v>130</v>
      </c>
      <c r="L48" s="2" t="s">
        <v>131</v>
      </c>
      <c r="M48" s="2" t="s">
        <v>112</v>
      </c>
      <c r="N48" s="2" t="s">
        <v>171</v>
      </c>
      <c r="O48" s="2" t="s">
        <v>62</v>
      </c>
      <c r="P48" s="3">
        <v>43479.8603703704</v>
      </c>
    </row>
    <row r="49" spans="1:16">
      <c r="A49" s="1">
        <v>7</v>
      </c>
      <c r="B49" s="2" t="s">
        <v>172</v>
      </c>
      <c r="C49" s="2" t="s">
        <v>173</v>
      </c>
      <c r="D49" s="2" t="s">
        <v>24</v>
      </c>
      <c r="E49" s="2" t="s">
        <v>28</v>
      </c>
      <c r="F49" s="2" t="s">
        <v>31</v>
      </c>
      <c r="G49" s="2" t="s">
        <v>174</v>
      </c>
      <c r="H49" s="2" t="s">
        <v>40</v>
      </c>
      <c r="I49" s="2" t="s">
        <v>175</v>
      </c>
      <c r="J49" s="2" t="s">
        <v>73</v>
      </c>
      <c r="K49" s="2" t="s">
        <v>176</v>
      </c>
      <c r="L49" s="2" t="s">
        <v>177</v>
      </c>
      <c r="M49" s="2" t="s">
        <v>91</v>
      </c>
      <c r="N49" s="2" t="s">
        <v>178</v>
      </c>
      <c r="O49" s="2" t="s">
        <v>62</v>
      </c>
      <c r="P49" s="3">
        <v>43479.8603703704</v>
      </c>
    </row>
    <row r="50" spans="1:16">
      <c r="A50" s="1">
        <v>6</v>
      </c>
      <c r="B50" s="2" t="s">
        <v>172</v>
      </c>
      <c r="C50" s="2" t="s">
        <v>173</v>
      </c>
      <c r="D50" s="2" t="s">
        <v>24</v>
      </c>
      <c r="E50" s="2" t="s">
        <v>28</v>
      </c>
      <c r="F50" s="2" t="s">
        <v>31</v>
      </c>
      <c r="G50" s="2" t="s">
        <v>179</v>
      </c>
      <c r="H50" s="2" t="s">
        <v>40</v>
      </c>
      <c r="I50" s="2" t="s">
        <v>180</v>
      </c>
      <c r="J50" s="2" t="s">
        <v>73</v>
      </c>
      <c r="K50" s="2" t="s">
        <v>176</v>
      </c>
      <c r="L50" s="2" t="s">
        <v>177</v>
      </c>
      <c r="M50" s="2" t="s">
        <v>91</v>
      </c>
      <c r="N50" s="2" t="s">
        <v>178</v>
      </c>
      <c r="O50" s="2" t="s">
        <v>62</v>
      </c>
      <c r="P50" s="3">
        <v>43479.8603703704</v>
      </c>
    </row>
    <row r="51" spans="1:16">
      <c r="A51" s="1">
        <v>5</v>
      </c>
      <c r="B51" s="2" t="s">
        <v>172</v>
      </c>
      <c r="C51" s="2" t="s">
        <v>173</v>
      </c>
      <c r="D51" s="2" t="s">
        <v>24</v>
      </c>
      <c r="E51" s="2" t="s">
        <v>28</v>
      </c>
      <c r="F51" s="2" t="s">
        <v>31</v>
      </c>
      <c r="G51" s="2" t="s">
        <v>181</v>
      </c>
      <c r="H51" s="2" t="s">
        <v>40</v>
      </c>
      <c r="I51" s="2" t="s">
        <v>182</v>
      </c>
      <c r="J51" s="2" t="s">
        <v>73</v>
      </c>
      <c r="K51" s="2" t="s">
        <v>176</v>
      </c>
      <c r="L51" s="2" t="s">
        <v>177</v>
      </c>
      <c r="M51" s="2" t="s">
        <v>183</v>
      </c>
      <c r="N51" s="2" t="s">
        <v>178</v>
      </c>
      <c r="O51" s="2" t="s">
        <v>62</v>
      </c>
      <c r="P51" s="3">
        <v>43479.8603703704</v>
      </c>
    </row>
    <row r="52" spans="1:16">
      <c r="A52" s="1">
        <v>4</v>
      </c>
      <c r="B52" s="2" t="s">
        <v>172</v>
      </c>
      <c r="C52" s="2" t="s">
        <v>173</v>
      </c>
      <c r="D52" s="2" t="s">
        <v>24</v>
      </c>
      <c r="E52" s="2" t="s">
        <v>28</v>
      </c>
      <c r="F52" s="2" t="s">
        <v>31</v>
      </c>
      <c r="G52" s="2" t="s">
        <v>184</v>
      </c>
      <c r="H52" s="2" t="s">
        <v>40</v>
      </c>
      <c r="I52" s="2" t="s">
        <v>185</v>
      </c>
      <c r="J52" s="2" t="s">
        <v>73</v>
      </c>
      <c r="K52" s="2" t="s">
        <v>176</v>
      </c>
      <c r="L52" s="2" t="s">
        <v>177</v>
      </c>
      <c r="M52" s="2" t="s">
        <v>112</v>
      </c>
      <c r="N52" s="2" t="s">
        <v>178</v>
      </c>
      <c r="O52" s="2" t="s">
        <v>62</v>
      </c>
      <c r="P52" s="3">
        <v>43479.8603703704</v>
      </c>
    </row>
    <row r="53" spans="1:16">
      <c r="A53" s="1">
        <v>3</v>
      </c>
      <c r="B53" s="2" t="s">
        <v>172</v>
      </c>
      <c r="C53" s="2" t="s">
        <v>173</v>
      </c>
      <c r="D53" s="2" t="s">
        <v>24</v>
      </c>
      <c r="E53" s="2" t="s">
        <v>28</v>
      </c>
      <c r="F53" s="2" t="s">
        <v>31</v>
      </c>
      <c r="G53" s="2" t="s">
        <v>186</v>
      </c>
      <c r="H53" s="2" t="s">
        <v>40</v>
      </c>
      <c r="I53" s="2" t="s">
        <v>187</v>
      </c>
      <c r="J53" s="2" t="s">
        <v>73</v>
      </c>
      <c r="K53" s="2" t="s">
        <v>176</v>
      </c>
      <c r="L53" s="2" t="s">
        <v>177</v>
      </c>
      <c r="M53" s="2" t="s">
        <v>112</v>
      </c>
      <c r="N53" s="2" t="s">
        <v>178</v>
      </c>
      <c r="O53" s="2" t="s">
        <v>62</v>
      </c>
      <c r="P53" s="3">
        <v>43479.8603703704</v>
      </c>
    </row>
    <row r="54" spans="1:16">
      <c r="A54" s="1">
        <v>2</v>
      </c>
      <c r="B54" s="2" t="s">
        <v>172</v>
      </c>
      <c r="C54" s="2" t="s">
        <v>173</v>
      </c>
      <c r="D54" s="2" t="s">
        <v>24</v>
      </c>
      <c r="E54" s="2" t="s">
        <v>28</v>
      </c>
      <c r="F54" s="2" t="s">
        <v>31</v>
      </c>
      <c r="G54" s="2" t="s">
        <v>188</v>
      </c>
      <c r="H54" s="2" t="s">
        <v>40</v>
      </c>
      <c r="I54" s="2" t="s">
        <v>189</v>
      </c>
      <c r="J54" s="2" t="s">
        <v>73</v>
      </c>
      <c r="K54" s="2" t="s">
        <v>176</v>
      </c>
      <c r="L54" s="2" t="s">
        <v>177</v>
      </c>
      <c r="M54" s="2" t="s">
        <v>91</v>
      </c>
      <c r="N54" s="2" t="s">
        <v>178</v>
      </c>
      <c r="O54" s="2" t="s">
        <v>62</v>
      </c>
      <c r="P54" s="3">
        <v>43479.8603703704</v>
      </c>
    </row>
    <row r="55" spans="1:16">
      <c r="A55" s="1">
        <v>1</v>
      </c>
      <c r="B55" s="2" t="s">
        <v>172</v>
      </c>
      <c r="C55" s="2" t="s">
        <v>173</v>
      </c>
      <c r="D55" s="2" t="s">
        <v>24</v>
      </c>
      <c r="E55" s="2" t="s">
        <v>28</v>
      </c>
      <c r="F55" s="2" t="s">
        <v>31</v>
      </c>
      <c r="G55" s="2" t="s">
        <v>190</v>
      </c>
      <c r="H55" s="2" t="s">
        <v>40</v>
      </c>
      <c r="I55" s="2" t="s">
        <v>191</v>
      </c>
      <c r="J55" s="2" t="s">
        <v>73</v>
      </c>
      <c r="K55" s="2" t="s">
        <v>176</v>
      </c>
      <c r="L55" s="2" t="s">
        <v>177</v>
      </c>
      <c r="M55" s="2" t="s">
        <v>112</v>
      </c>
      <c r="N55" s="2" t="s">
        <v>178</v>
      </c>
      <c r="O55" s="2" t="s">
        <v>62</v>
      </c>
      <c r="P55" s="3">
        <v>43479.8573032407</v>
      </c>
    </row>
    <row r="56" spans="1:16">
      <c r="A56" s="1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3"/>
    </row>
    <row r="57" spans="1:16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3"/>
    </row>
    <row r="58" spans="1:16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3"/>
    </row>
    <row r="59" spans="1:16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3"/>
    </row>
    <row r="60" spans="1:16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3"/>
    </row>
    <row r="61" spans="1:16">
      <c r="A61" s="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"/>
    </row>
    <row r="62" spans="1:16">
      <c r="A62" s="1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3"/>
    </row>
    <row r="63" spans="1:16">
      <c r="A63" s="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3"/>
    </row>
    <row r="64" spans="1:16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3"/>
    </row>
    <row r="65" spans="1:16">
      <c r="A65" s="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"/>
    </row>
    <row r="66" spans="1:16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3"/>
    </row>
    <row r="67" spans="1:16">
      <c r="A67" s="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3"/>
    </row>
    <row r="68" spans="1:16">
      <c r="A68" s="1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3"/>
    </row>
    <row r="69" spans="1:16">
      <c r="A69" s="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"/>
    </row>
    <row r="70" spans="1:16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</row>
    <row r="71" spans="1:16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</row>
    <row r="73" spans="1:16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</row>
    <row r="74" spans="1:16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</row>
    <row r="83" spans="1:16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</row>
    <row r="85" spans="1:16">
      <c r="A85" s="25"/>
      <c r="B85" s="21"/>
      <c r="C85" s="22"/>
      <c r="D85" s="21"/>
      <c r="E85" s="21"/>
      <c r="F85" s="22"/>
      <c r="G85" s="22"/>
      <c r="H85" s="22"/>
      <c r="I85" s="22"/>
      <c r="J85" s="22"/>
      <c r="K85" s="22"/>
      <c r="L85" s="22"/>
      <c r="M85" s="22"/>
      <c r="N85" s="23"/>
      <c r="O85" s="22"/>
      <c r="P85" s="24"/>
    </row>
    <row r="86" spans="1:16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</row>
    <row r="87" spans="1:16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</row>
    <row r="89" spans="1:16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</row>
    <row r="90" spans="1:16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</row>
    <row r="91" spans="1:16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</row>
    <row r="94" spans="1:16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</row>
    <row r="95" spans="1:16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</row>
    <row r="96" spans="1:16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</row>
    <row r="97" spans="1:16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</row>
    <row r="99" spans="1:16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</row>
    <row r="100" spans="1:16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</row>
    <row r="101" spans="1:16">
      <c r="A101" s="25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4"/>
    </row>
    <row r="102" spans="1:16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</row>
    <row r="103" spans="1:16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</row>
    <row r="104" spans="1:16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</row>
    <row r="105" spans="1:16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</row>
    <row r="106" spans="1:16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</row>
    <row r="109" spans="1:16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</row>
    <row r="110" spans="1:16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</row>
    <row r="111" spans="1:16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</row>
    <row r="112" spans="1:16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</row>
    <row r="113" spans="1:16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</row>
    <row r="115" spans="1:16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</row>
    <row r="116" spans="1:16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</row>
    <row r="117" spans="1:16">
      <c r="A117" s="18"/>
      <c r="B117" s="19"/>
      <c r="C117" s="18"/>
      <c r="D117" s="18"/>
      <c r="E117" s="20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</row>
    <row r="118" spans="1:16">
      <c r="A118" s="25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4"/>
    </row>
    <row r="119" spans="1:16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</row>
    <row r="120" spans="1:16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</row>
    <row r="121" spans="1:16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</row>
    <row r="122" spans="1:16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</row>
    <row r="123" spans="1:16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</row>
    <row r="124" spans="1:16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</row>
    <row r="125" spans="1:16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</row>
    <row r="126" spans="1:16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</row>
    <row r="127" spans="1:16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</row>
    <row r="128" spans="1:16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</row>
    <row r="129" spans="1:16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</row>
    <row r="132" spans="1:16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</row>
    <row r="133" spans="1:16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</row>
    <row r="134" spans="1:16">
      <c r="A134" s="18"/>
      <c r="B134" s="25"/>
      <c r="C134" s="25"/>
      <c r="D134" s="21"/>
      <c r="E134" s="21"/>
      <c r="F134" s="22"/>
      <c r="G134" s="22"/>
      <c r="H134" s="22"/>
      <c r="I134" s="22"/>
      <c r="J134" s="22"/>
      <c r="K134" s="22"/>
      <c r="L134" s="22"/>
      <c r="M134" s="22"/>
      <c r="N134" s="23"/>
      <c r="O134" s="22"/>
      <c r="P134" s="24"/>
    </row>
    <row r="135" spans="1:3">
      <c r="A135" s="25"/>
      <c r="B135" s="21"/>
      <c r="C135" s="22"/>
    </row>
  </sheetData>
  <sheetProtection password="EF45" sheet="1" objects="1"/>
  <sortState ref="A2:P79">
    <sortCondition ref="A1" descending="1"/>
  </sortState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67"/>
  <sheetViews>
    <sheetView workbookViewId="0">
      <selection activeCell="C28" sqref="C28"/>
    </sheetView>
  </sheetViews>
  <sheetFormatPr defaultColWidth="10.8" defaultRowHeight="15.75" outlineLevelCol="5"/>
  <cols>
    <col min="1" max="1" width="63.8" style="4" customWidth="1"/>
    <col min="2" max="2" width="17.2" style="4" customWidth="1"/>
    <col min="3" max="3" width="16.7" style="4" customWidth="1"/>
    <col min="4" max="4" width="22.7" style="4" customWidth="1"/>
    <col min="5" max="16384" width="10.8" style="4"/>
  </cols>
  <sheetData>
    <row r="1" ht="16.5" spans="1:6">
      <c r="A1" s="5" t="s">
        <v>22</v>
      </c>
      <c r="B1" s="5"/>
      <c r="C1" s="5"/>
      <c r="D1" s="5"/>
      <c r="E1" s="5"/>
      <c r="F1" s="5"/>
    </row>
    <row r="2" spans="1:6">
      <c r="A2" s="6" t="s">
        <v>192</v>
      </c>
      <c r="B2" s="7" t="s">
        <v>193</v>
      </c>
      <c r="C2" s="7" t="s">
        <v>27</v>
      </c>
      <c r="D2" s="7"/>
      <c r="E2" s="7"/>
      <c r="F2" s="8"/>
    </row>
    <row r="3" spans="1:6">
      <c r="A3" s="9" t="s">
        <v>194</v>
      </c>
      <c r="B3" s="5" t="s">
        <v>195</v>
      </c>
      <c r="C3" s="5" t="s">
        <v>193</v>
      </c>
      <c r="D3" s="5" t="s">
        <v>27</v>
      </c>
      <c r="E3" s="5"/>
      <c r="F3" s="10"/>
    </row>
    <row r="4" spans="1:6">
      <c r="A4" s="9" t="s">
        <v>196</v>
      </c>
      <c r="B4" s="5" t="s">
        <v>197</v>
      </c>
      <c r="C4" s="5" t="s">
        <v>193</v>
      </c>
      <c r="D4" s="5" t="s">
        <v>27</v>
      </c>
      <c r="E4" s="5"/>
      <c r="F4" s="10"/>
    </row>
    <row r="5" spans="1:6">
      <c r="A5" s="9" t="s">
        <v>198</v>
      </c>
      <c r="B5" s="5" t="s">
        <v>193</v>
      </c>
      <c r="C5" s="5" t="s">
        <v>27</v>
      </c>
      <c r="D5" s="5"/>
      <c r="E5" s="5"/>
      <c r="F5" s="10"/>
    </row>
    <row r="6" spans="1:6">
      <c r="A6" s="9" t="s">
        <v>199</v>
      </c>
      <c r="B6" s="5" t="s">
        <v>193</v>
      </c>
      <c r="C6" s="5" t="s">
        <v>27</v>
      </c>
      <c r="D6" s="5"/>
      <c r="E6" s="5"/>
      <c r="F6" s="10"/>
    </row>
    <row r="7" spans="1:6">
      <c r="A7" s="9" t="s">
        <v>200</v>
      </c>
      <c r="B7" s="5" t="s">
        <v>201</v>
      </c>
      <c r="C7" s="5" t="s">
        <v>202</v>
      </c>
      <c r="D7" s="5" t="s">
        <v>193</v>
      </c>
      <c r="E7" s="5" t="s">
        <v>27</v>
      </c>
      <c r="F7" s="10"/>
    </row>
    <row r="8" spans="1:6">
      <c r="A8" s="9" t="s">
        <v>203</v>
      </c>
      <c r="B8" s="5" t="s">
        <v>193</v>
      </c>
      <c r="C8" s="5" t="s">
        <v>27</v>
      </c>
      <c r="D8" s="5"/>
      <c r="E8" s="5"/>
      <c r="F8" s="10"/>
    </row>
    <row r="9" spans="1:6">
      <c r="A9" s="9" t="s">
        <v>204</v>
      </c>
      <c r="B9" s="5" t="s">
        <v>205</v>
      </c>
      <c r="C9" s="5" t="s">
        <v>193</v>
      </c>
      <c r="D9" s="5" t="s">
        <v>27</v>
      </c>
      <c r="E9" s="5"/>
      <c r="F9" s="10"/>
    </row>
    <row r="10" spans="1:6">
      <c r="A10" s="9" t="s">
        <v>206</v>
      </c>
      <c r="B10" s="5" t="s">
        <v>207</v>
      </c>
      <c r="C10" s="5" t="s">
        <v>208</v>
      </c>
      <c r="D10" s="5" t="s">
        <v>193</v>
      </c>
      <c r="E10" s="5" t="s">
        <v>27</v>
      </c>
      <c r="F10" s="10"/>
    </row>
    <row r="11" spans="1:6">
      <c r="A11" s="9" t="s">
        <v>209</v>
      </c>
      <c r="B11" s="5" t="s">
        <v>193</v>
      </c>
      <c r="C11" s="5" t="s">
        <v>27</v>
      </c>
      <c r="D11" s="5"/>
      <c r="E11" s="5"/>
      <c r="F11" s="10"/>
    </row>
    <row r="12" spans="1:6">
      <c r="A12" s="9" t="s">
        <v>210</v>
      </c>
      <c r="B12" s="5" t="s">
        <v>193</v>
      </c>
      <c r="C12" s="5" t="s">
        <v>27</v>
      </c>
      <c r="D12" s="5"/>
      <c r="E12" s="5"/>
      <c r="F12" s="10"/>
    </row>
    <row r="13" spans="1:6">
      <c r="A13" s="9" t="s">
        <v>211</v>
      </c>
      <c r="B13" s="5" t="s">
        <v>212</v>
      </c>
      <c r="C13" s="5" t="s">
        <v>213</v>
      </c>
      <c r="D13" s="5" t="s">
        <v>214</v>
      </c>
      <c r="E13" s="5" t="s">
        <v>193</v>
      </c>
      <c r="F13" s="10" t="s">
        <v>27</v>
      </c>
    </row>
    <row r="14" spans="1:6">
      <c r="A14" s="9" t="s">
        <v>215</v>
      </c>
      <c r="B14" s="5" t="s">
        <v>216</v>
      </c>
      <c r="C14" s="5" t="s">
        <v>217</v>
      </c>
      <c r="D14" s="5" t="s">
        <v>193</v>
      </c>
      <c r="E14" s="5" t="s">
        <v>27</v>
      </c>
      <c r="F14" s="10"/>
    </row>
    <row r="15" spans="1:6">
      <c r="A15" s="9" t="s">
        <v>218</v>
      </c>
      <c r="B15" s="5" t="s">
        <v>193</v>
      </c>
      <c r="C15" s="5" t="s">
        <v>27</v>
      </c>
      <c r="D15" s="5"/>
      <c r="E15" s="5"/>
      <c r="F15" s="10"/>
    </row>
    <row r="16" spans="1:6">
      <c r="A16" s="9" t="s">
        <v>219</v>
      </c>
      <c r="B16" s="11" t="s">
        <v>220</v>
      </c>
      <c r="C16" s="5" t="s">
        <v>193</v>
      </c>
      <c r="D16" s="5" t="s">
        <v>27</v>
      </c>
      <c r="E16" s="5"/>
      <c r="F16" s="10"/>
    </row>
    <row r="17" spans="1:6">
      <c r="A17" s="9" t="s">
        <v>221</v>
      </c>
      <c r="B17" s="5" t="s">
        <v>193</v>
      </c>
      <c r="C17" s="5" t="s">
        <v>27</v>
      </c>
      <c r="D17" s="5"/>
      <c r="E17" s="5"/>
      <c r="F17" s="10"/>
    </row>
    <row r="18" spans="1:6">
      <c r="A18" s="9" t="s">
        <v>222</v>
      </c>
      <c r="B18" s="5" t="s">
        <v>193</v>
      </c>
      <c r="C18" s="5" t="s">
        <v>27</v>
      </c>
      <c r="D18" s="5"/>
      <c r="E18" s="5"/>
      <c r="F18" s="10"/>
    </row>
    <row r="19" spans="1:6">
      <c r="A19" s="9" t="s">
        <v>223</v>
      </c>
      <c r="B19" s="5" t="s">
        <v>224</v>
      </c>
      <c r="C19" s="5" t="s">
        <v>193</v>
      </c>
      <c r="D19" s="5" t="s">
        <v>27</v>
      </c>
      <c r="E19" s="5"/>
      <c r="F19" s="10"/>
    </row>
    <row r="20" spans="1:6">
      <c r="A20" s="9" t="s">
        <v>225</v>
      </c>
      <c r="B20" s="5" t="s">
        <v>226</v>
      </c>
      <c r="C20" s="5" t="s">
        <v>227</v>
      </c>
      <c r="D20" s="5" t="s">
        <v>193</v>
      </c>
      <c r="E20" s="5" t="s">
        <v>27</v>
      </c>
      <c r="F20" s="10"/>
    </row>
    <row r="21" spans="1:6">
      <c r="A21" s="9" t="s">
        <v>88</v>
      </c>
      <c r="B21" s="5" t="s">
        <v>193</v>
      </c>
      <c r="C21" s="5"/>
      <c r="D21" s="5"/>
      <c r="E21" s="5"/>
      <c r="F21" s="10"/>
    </row>
    <row r="22" spans="1:6">
      <c r="A22" s="9" t="s">
        <v>228</v>
      </c>
      <c r="B22" s="5" t="s">
        <v>229</v>
      </c>
      <c r="C22" s="5" t="s">
        <v>193</v>
      </c>
      <c r="D22" s="5" t="s">
        <v>27</v>
      </c>
      <c r="E22" s="5"/>
      <c r="F22" s="10"/>
    </row>
    <row r="23" spans="1:6">
      <c r="A23" s="9" t="s">
        <v>230</v>
      </c>
      <c r="B23" s="5" t="s">
        <v>231</v>
      </c>
      <c r="C23" s="5" t="s">
        <v>193</v>
      </c>
      <c r="D23" s="5" t="s">
        <v>27</v>
      </c>
      <c r="E23" s="5"/>
      <c r="F23" s="10"/>
    </row>
    <row r="24" spans="1:6">
      <c r="A24" s="9" t="s">
        <v>232</v>
      </c>
      <c r="B24" s="5" t="s">
        <v>193</v>
      </c>
      <c r="C24" s="5" t="s">
        <v>27</v>
      </c>
      <c r="D24" s="5"/>
      <c r="E24" s="5"/>
      <c r="F24" s="10"/>
    </row>
    <row r="25" spans="1:6">
      <c r="A25" s="9" t="s">
        <v>233</v>
      </c>
      <c r="B25" s="5" t="s">
        <v>193</v>
      </c>
      <c r="C25" s="5" t="s">
        <v>27</v>
      </c>
      <c r="D25" s="5"/>
      <c r="E25" s="5"/>
      <c r="F25" s="10"/>
    </row>
    <row r="26" spans="1:6">
      <c r="A26" s="9" t="s">
        <v>234</v>
      </c>
      <c r="B26" s="5" t="s">
        <v>235</v>
      </c>
      <c r="C26" s="5" t="s">
        <v>193</v>
      </c>
      <c r="D26" s="5" t="s">
        <v>27</v>
      </c>
      <c r="E26" s="5"/>
      <c r="F26" s="10"/>
    </row>
    <row r="27" spans="1:6">
      <c r="A27" s="9" t="s">
        <v>236</v>
      </c>
      <c r="B27" s="5" t="s">
        <v>193</v>
      </c>
      <c r="C27" s="5" t="s">
        <v>27</v>
      </c>
      <c r="D27" s="5"/>
      <c r="E27" s="5"/>
      <c r="F27" s="10"/>
    </row>
    <row r="28" spans="1:6">
      <c r="A28" s="9" t="s">
        <v>237</v>
      </c>
      <c r="B28" s="5" t="s">
        <v>238</v>
      </c>
      <c r="C28" s="5" t="s">
        <v>239</v>
      </c>
      <c r="D28" s="5" t="s">
        <v>193</v>
      </c>
      <c r="E28" s="5" t="s">
        <v>27</v>
      </c>
      <c r="F28" s="10"/>
    </row>
    <row r="29" spans="1:6">
      <c r="A29" s="9" t="s">
        <v>240</v>
      </c>
      <c r="B29" s="5" t="s">
        <v>193</v>
      </c>
      <c r="C29" s="5" t="s">
        <v>27</v>
      </c>
      <c r="D29" s="5"/>
      <c r="E29" s="5"/>
      <c r="F29" s="10"/>
    </row>
    <row r="30" spans="1:6">
      <c r="A30" s="9" t="s">
        <v>241</v>
      </c>
      <c r="B30" s="5" t="s">
        <v>242</v>
      </c>
      <c r="C30" s="5" t="s">
        <v>193</v>
      </c>
      <c r="D30" s="5" t="s">
        <v>27</v>
      </c>
      <c r="E30" s="5"/>
      <c r="F30" s="10"/>
    </row>
    <row r="31" spans="1:6">
      <c r="A31" s="9" t="s">
        <v>243</v>
      </c>
      <c r="B31" s="5" t="s">
        <v>193</v>
      </c>
      <c r="C31" s="5" t="s">
        <v>27</v>
      </c>
      <c r="D31" s="5"/>
      <c r="E31" s="5"/>
      <c r="F31" s="10"/>
    </row>
    <row r="32" spans="1:6">
      <c r="A32" s="9" t="s">
        <v>244</v>
      </c>
      <c r="B32" s="5" t="s">
        <v>193</v>
      </c>
      <c r="C32" s="5" t="s">
        <v>27</v>
      </c>
      <c r="D32" s="5"/>
      <c r="E32" s="5"/>
      <c r="F32" s="10"/>
    </row>
    <row r="33" spans="1:6">
      <c r="A33" s="9" t="s">
        <v>245</v>
      </c>
      <c r="B33" s="5" t="s">
        <v>193</v>
      </c>
      <c r="C33" s="5" t="s">
        <v>27</v>
      </c>
      <c r="D33" s="5"/>
      <c r="E33" s="5"/>
      <c r="F33" s="10"/>
    </row>
    <row r="34" spans="1:6">
      <c r="A34" s="9" t="s">
        <v>246</v>
      </c>
      <c r="B34" s="5" t="s">
        <v>193</v>
      </c>
      <c r="C34" s="5" t="s">
        <v>27</v>
      </c>
      <c r="D34" s="5"/>
      <c r="E34" s="5"/>
      <c r="F34" s="10"/>
    </row>
    <row r="35" spans="1:6">
      <c r="A35" s="9" t="s">
        <v>247</v>
      </c>
      <c r="B35" s="5" t="s">
        <v>193</v>
      </c>
      <c r="C35" s="5" t="s">
        <v>27</v>
      </c>
      <c r="D35" s="5"/>
      <c r="E35" s="5"/>
      <c r="F35" s="10"/>
    </row>
    <row r="36" ht="16.5" spans="1:6">
      <c r="A36" s="12" t="s">
        <v>248</v>
      </c>
      <c r="B36" s="13" t="s">
        <v>193</v>
      </c>
      <c r="C36" s="13" t="s">
        <v>27</v>
      </c>
      <c r="D36" s="13"/>
      <c r="E36" s="13"/>
      <c r="F36" s="14"/>
    </row>
    <row r="38" ht="16.5" spans="1:1">
      <c r="A38" s="4" t="s">
        <v>29</v>
      </c>
    </row>
    <row r="39" spans="1:1">
      <c r="A39" s="15" t="s">
        <v>31</v>
      </c>
    </row>
    <row r="40" spans="1:1">
      <c r="A40" s="16" t="s">
        <v>249</v>
      </c>
    </row>
    <row r="41" spans="1:1">
      <c r="A41" s="16" t="s">
        <v>70</v>
      </c>
    </row>
    <row r="42" ht="16.5" spans="1:1">
      <c r="A42" s="17" t="s">
        <v>250</v>
      </c>
    </row>
    <row r="44" ht="16.5" spans="1:1">
      <c r="A44" s="4" t="s">
        <v>38</v>
      </c>
    </row>
    <row r="45" spans="1:1">
      <c r="A45" s="15" t="s">
        <v>40</v>
      </c>
    </row>
    <row r="46" spans="1:1">
      <c r="A46" s="16" t="s">
        <v>251</v>
      </c>
    </row>
    <row r="47" spans="1:1">
      <c r="A47" s="16" t="s">
        <v>252</v>
      </c>
    </row>
    <row r="48" ht="16.5" spans="1:1">
      <c r="A48" s="17" t="s">
        <v>253</v>
      </c>
    </row>
    <row r="50" ht="16.5" spans="1:1">
      <c r="A50" s="4" t="s">
        <v>45</v>
      </c>
    </row>
    <row r="51" spans="1:1">
      <c r="A51" s="15" t="s">
        <v>73</v>
      </c>
    </row>
    <row r="52" spans="1:1">
      <c r="A52" s="16" t="s">
        <v>47</v>
      </c>
    </row>
    <row r="53" spans="1:1">
      <c r="A53" s="16" t="s">
        <v>66</v>
      </c>
    </row>
    <row r="54" spans="1:1">
      <c r="A54" s="16" t="s">
        <v>254</v>
      </c>
    </row>
    <row r="55" spans="1:1">
      <c r="A55" s="16" t="s">
        <v>255</v>
      </c>
    </row>
    <row r="56" spans="1:1">
      <c r="A56" s="16" t="s">
        <v>256</v>
      </c>
    </row>
    <row r="57" ht="16.5" spans="1:1">
      <c r="A57" s="17" t="s">
        <v>250</v>
      </c>
    </row>
    <row r="59" ht="16.5" spans="1:1">
      <c r="A59" s="4" t="s">
        <v>257</v>
      </c>
    </row>
    <row r="60" spans="1:1">
      <c r="A60" s="15" t="s">
        <v>193</v>
      </c>
    </row>
    <row r="61" ht="16.5" spans="1:1">
      <c r="A61" s="17" t="s">
        <v>27</v>
      </c>
    </row>
    <row r="63" ht="16.5" spans="1:1">
      <c r="A63" s="4" t="s">
        <v>53</v>
      </c>
    </row>
    <row r="64" spans="1:1">
      <c r="A64" s="15" t="s">
        <v>183</v>
      </c>
    </row>
    <row r="65" spans="1:1">
      <c r="A65" s="16" t="s">
        <v>112</v>
      </c>
    </row>
    <row r="66" spans="1:1">
      <c r="A66" s="16" t="s">
        <v>91</v>
      </c>
    </row>
    <row r="67" ht="16.5" spans="1:1">
      <c r="A67" s="17" t="s">
        <v>258</v>
      </c>
    </row>
  </sheetData>
  <sheetProtection password="EF45" sheet="1" objects="1" scenarios="1"/>
  <sortState ref="A1:F36">
    <sortCondition ref="A2"/>
  </sortState>
  <pageMargins left="0.7" right="0.7" top="0.75" bottom="0.75" header="0.3" footer="0.3"/>
  <pageSetup paperSize="9" orientation="portrait" verticalDpi="598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P1"/>
  <sheetViews>
    <sheetView workbookViewId="0">
      <selection activeCell="B1" sqref="B1:P1"/>
    </sheetView>
  </sheetViews>
  <sheetFormatPr defaultColWidth="9" defaultRowHeight="15.75"/>
  <cols>
    <col min="1" max="15" width="8.8" style="1"/>
    <col min="16" max="16" width="16.9" style="1" customWidth="1"/>
    <col min="17" max="16384" width="8.8" style="1"/>
  </cols>
  <sheetData>
    <row r="1" spans="1:16">
      <c r="A1" s="1">
        <f>COUNT(现象研究记录数目)+1</f>
        <v>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</sheetData>
  <sheetProtection password="EF45" sheet="1" objects="1"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现象研究录入界面</vt:lpstr>
      <vt:lpstr>现象研究记录</vt:lpstr>
      <vt:lpstr>后台选项</vt:lpstr>
      <vt:lpstr>中转站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gyy16</cp:lastModifiedBy>
  <dcterms:created xsi:type="dcterms:W3CDTF">2019-01-09T01:42:00Z</dcterms:created>
  <dcterms:modified xsi:type="dcterms:W3CDTF">2019-01-21T01:02:58Z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