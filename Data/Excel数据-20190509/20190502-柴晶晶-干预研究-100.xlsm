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柴晶晶\Desktop\导出\"/>
    </mc:Choice>
  </mc:AlternateContent>
  <xr:revisionPtr revIDLastSave="0" documentId="8_{2E9AD5C5-9B38-4E90-91BA-04F282CD6D92}" xr6:coauthVersionLast="43" xr6:coauthVersionMax="43" xr10:uidLastSave="{00000000-0000-0000-0000-000000000000}"/>
  <workbookProtection workbookAlgorithmName="SHA-512" workbookHashValue="RHem6SxWPB3YEW5ZFz+DV1u8VN5/j7QBlobs4sgVwycxJ4DJq4ERMojLe/d+zkDI8n5KkgTVqPB2toMWDG0bDA==" workbookSaltValue="5Rv7HcbNdV8TkcjLBO8aqA==" workbookSpinCount="100000" lockStructure="1"/>
  <bookViews>
    <workbookView xWindow="-110" yWindow="-110" windowWidth="19420" windowHeight="10420" activeTab="1" xr2:uid="{00000000-000D-0000-FFFF-FFFF00000000}"/>
  </bookViews>
  <sheets>
    <sheet name="干预研究录入界面" sheetId="1" r:id="rId1"/>
    <sheet name="干预研究记录" sheetId="2" r:id="rId2"/>
    <sheet name="后台选项" sheetId="3" r:id="rId3"/>
    <sheet name="中转站" sheetId="4" r:id="rId4"/>
  </sheets>
  <definedNames>
    <definedName name="Adrenocortical_Carcinoma_肾上腺皮质癌_ACC">后台选项!$B$1:$C$1</definedName>
    <definedName name="Bladder_Cancer_膀胱癌">后台选项!$B$2:$D$2</definedName>
    <definedName name="Brain_Higher_Grade_Glioma_脑高级别神经胶质瘤_HGG">后台选项!$B$3:$D$3</definedName>
    <definedName name="Brain_Lower_Grade_Glioma_脑低级别神经胶质瘤_LGG">后台选项!$B$4:$C$4</definedName>
    <definedName name="Breast_Invasive_Carcinoma_乳腺癌_BRCA">后台选项!$B$5:$C$5</definedName>
    <definedName name="Cervical_Carcinoma_子宫颈癌_CECA">后台选项!$B$6:$E$6</definedName>
    <definedName name="Cholangiocarcinoma_胆管细胞癌_CHOL">后台选项!$B$7:$C$7</definedName>
    <definedName name="Colon_Cancer_结肠癌">后台选项!$B$8:$D$8</definedName>
    <definedName name="Esophageal_Cancer_食管癌">后台选项!$B$9:$E$9</definedName>
    <definedName name="Head_and_Neck_Cancer_Non_Nasopharyngeal_Carcinoma_头颈部癌_非鼻咽癌_HNC">后台选项!$B$10:$C$10</definedName>
    <definedName name="Hodgkin_Lymphoma_霍奇金淋巴瘤_HL">后台选项!$B$11:$C$11</definedName>
    <definedName name="Kidney_Cancer_肾癌">后台选项!$B$12:$F$12</definedName>
    <definedName name="Leukemia_白血病">后台选项!$B$13:$E$13</definedName>
    <definedName name="Liver_Hepatocellular_Carcinoma_肝细胞肝癌_LIHC">后台选项!$B$14:$C$14</definedName>
    <definedName name="Melanoma_黑色素瘤">后台选项!$B$15:$D$15</definedName>
    <definedName name="Mesothelioma_间皮瘤_MESO">后台选项!$B$16:$C$16</definedName>
    <definedName name="Nasopharyngeal_Squamous_Cell_Carcinoma_鼻咽鳞状细胞癌_NSCC">后台选项!$B$17:$C$17</definedName>
    <definedName name="Non_Hodgkin_Lymphoma_非霍奇金淋巴瘤_NHL">后台选项!$B$18:$D$18</definedName>
    <definedName name="Non_Small_Cell_Lung_Cancer_非小细胞肺癌_NSCLC">后台选项!$B$19:$E$19</definedName>
    <definedName name="Others">后台选项!$B$20</definedName>
    <definedName name="Ovarian_Cancer_卵巢癌">后台选项!$B$21:$D$21</definedName>
    <definedName name="Pancreatic_Cancer_胰腺癌">后台选项!$B$22:$D$22</definedName>
    <definedName name="Pheochromocytoma_and_Paraganglioma_嗜铬细胞瘤与副神经节瘤_PCPG">后台选项!$B$23:$C$23</definedName>
    <definedName name="Prostate_Adenocarcinoma_前列腺癌_PRAD">后台选项!$B$24:$C$24</definedName>
    <definedName name="Rectum_Cancer_直肠癌">后台选项!$B$25:$D$25</definedName>
    <definedName name="Sarcoma_肉瘤_SARC">后台选项!$B$26:$C$26</definedName>
    <definedName name="Skin_Malignancy_皮肤恶性肿瘤">后台选项!$B$27:$E$27</definedName>
    <definedName name="Small_Cell_Lung_Cancer_小细胞肺癌_SCLC">后台选项!$B$28:$C$28</definedName>
    <definedName name="Stomach_Cancer_胃癌">后台选项!$B$29:$D$29</definedName>
    <definedName name="Testicular_Germ_Cell_Tumors_睾丸生殖细胞瘤_TGCT">后台选项!$B$30:$C$30</definedName>
    <definedName name="Thymoma_胸腺瘤_THYM">后台选项!$B$31:$C$31</definedName>
    <definedName name="Thyroid_Carcinoma_甲状腺癌_THCA">后台选项!$B$32:$C$32</definedName>
    <definedName name="Uterine_Carcinosarcoma_子宫癌肉瘤_UCS">后台选项!$B$33:$C$33</definedName>
    <definedName name="Uterine_Corpus_Endometrial_Carcinoma_子宫内膜癌_UCEC">后台选项!$B$34:$C$34</definedName>
    <definedName name="Uveal_Melanoma_葡萄膜黑色素瘤_UVM">后台选项!$B$35:$C$35</definedName>
    <definedName name="现象研究记录数目">干预研究记录!$A:$A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0" i="1" l="1"/>
  <c r="H2" i="1"/>
  <c r="D2" i="1"/>
  <c r="K2" i="1"/>
  <c r="G2" i="1"/>
  <c r="L2" i="1"/>
  <c r="M2" i="1"/>
  <c r="F2" i="1"/>
  <c r="E2" i="1"/>
  <c r="J2" i="1"/>
  <c r="I2" i="1"/>
  <c r="A1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用户</author>
  </authors>
  <commentList>
    <comment ref="D5" authorId="0" shapeId="0" xr:uid="{00000000-0006-0000-0000-000001000000}">
      <text>
        <r>
          <rPr>
            <b/>
            <sz val="10"/>
            <color rgb="FF000000"/>
            <rFont val="Microsoft YaHei UI"/>
            <family val="2"/>
            <charset val="134"/>
          </rPr>
          <t>Microsoft Office 用户:</t>
        </r>
        <r>
          <rPr>
            <sz val="10"/>
            <color rgb="FF000000"/>
            <rFont val="Microsoft YaHei UI"/>
            <family val="2"/>
            <charset val="134"/>
          </rPr>
          <t xml:space="preserve">
</t>
        </r>
        <r>
          <rPr>
            <sz val="10"/>
            <color rgb="FF000000"/>
            <rFont val="等线"/>
            <family val="4"/>
            <charset val="134"/>
            <scheme val="minor"/>
          </rPr>
          <t xml:space="preserve">1. 肿瘤类型参考TCGA的tumor type及简写，请选择下列肿瘤父类型的选项。如无匹配的肿瘤父类型选项，请选择选项“Others”；
</t>
        </r>
        <r>
          <rPr>
            <sz val="10"/>
            <color rgb="FF000000"/>
            <rFont val="Microsoft YaHei UI"/>
            <family val="2"/>
            <charset val="134"/>
          </rPr>
          <t xml:space="preserve">2. </t>
        </r>
        <r>
          <rPr>
            <sz val="10"/>
            <color rgb="FF000000"/>
            <rFont val="等线"/>
            <family val="4"/>
            <charset val="134"/>
            <scheme val="minor"/>
          </rPr>
          <t>如该肿瘤存在子类型，请选择相应选项。如无匹配的子类型，请选择</t>
        </r>
        <r>
          <rPr>
            <sz val="10"/>
            <color rgb="FF000000"/>
            <rFont val="Microsoft YaHei UI"/>
            <family val="2"/>
            <charset val="134"/>
          </rPr>
          <t>[</t>
        </r>
        <r>
          <rPr>
            <sz val="10"/>
            <color rgb="FF000000"/>
            <rFont val="等线"/>
            <family val="4"/>
            <charset val="134"/>
            <scheme val="minor"/>
          </rPr>
          <t>选填</t>
        </r>
        <r>
          <rPr>
            <sz val="10"/>
            <color rgb="FF000000"/>
            <rFont val="Microsoft YaHei UI"/>
            <family val="2"/>
            <charset val="134"/>
          </rPr>
          <t>]</t>
        </r>
        <r>
          <rPr>
            <sz val="10"/>
            <color rgb="FF000000"/>
            <rFont val="等线"/>
            <family val="4"/>
            <charset val="134"/>
            <scheme val="minor"/>
          </rPr>
          <t>，删除后，并手动输入该肿瘤子类型的英文全称；</t>
        </r>
        <r>
          <rPr>
            <sz val="10"/>
            <color rgb="FF000000"/>
            <rFont val="Microsoft YaHei UI"/>
            <family val="2"/>
            <charset val="134"/>
          </rPr>
          <t xml:space="preserve">
3. </t>
        </r>
        <r>
          <rPr>
            <sz val="10"/>
            <color rgb="FF000000"/>
            <rFont val="等线"/>
            <family val="4"/>
            <charset val="134"/>
            <scheme val="minor"/>
          </rPr>
          <t>如原文仅能明确父类型，则子类型一栏中选择“</t>
        </r>
        <r>
          <rPr>
            <sz val="10"/>
            <color rgb="FF000000"/>
            <rFont val="Microsoft YaHei UI"/>
            <family val="2"/>
            <charset val="134"/>
          </rPr>
          <t>NA"</t>
        </r>
        <r>
          <rPr>
            <sz val="10"/>
            <color rgb="FF000000"/>
            <rFont val="等线"/>
            <family val="4"/>
            <charset val="134"/>
            <scheme val="minor"/>
          </rPr>
          <t>。</t>
        </r>
      </text>
    </comment>
    <comment ref="D7" authorId="0" shapeId="0" xr:uid="{00000000-0006-0000-0000-000002000000}">
      <text>
        <r>
          <rPr>
            <b/>
            <sz val="10"/>
            <color rgb="FF000000"/>
            <rFont val="Microsoft YaHei UI"/>
            <family val="2"/>
            <charset val="134"/>
          </rPr>
          <t xml:space="preserve">Microsoft Office </t>
        </r>
        <r>
          <rPr>
            <b/>
            <sz val="10"/>
            <color rgb="FF000000"/>
            <rFont val="Microsoft YaHei UI"/>
            <family val="2"/>
            <charset val="134"/>
          </rPr>
          <t>用户</t>
        </r>
        <r>
          <rPr>
            <b/>
            <sz val="10"/>
            <color rgb="FF000000"/>
            <rFont val="Microsoft YaHei UI"/>
            <family val="2"/>
            <charset val="134"/>
          </rPr>
          <t>:</t>
        </r>
        <r>
          <rPr>
            <sz val="10"/>
            <color rgb="FF000000"/>
            <rFont val="Microsoft YaHei UI"/>
            <family val="2"/>
            <charset val="134"/>
          </rPr>
          <t xml:space="preserve">
</t>
        </r>
        <r>
          <rPr>
            <sz val="10"/>
            <color rgb="FF000000"/>
            <rFont val="等线"/>
            <family val="4"/>
            <charset val="134"/>
            <scheme val="minor"/>
          </rPr>
          <t>注：</t>
        </r>
        <r>
          <rPr>
            <sz val="10"/>
            <color rgb="FF000000"/>
            <rFont val="等线"/>
            <family val="4"/>
            <charset val="134"/>
            <scheme val="minor"/>
          </rPr>
          <t xml:space="preserve">
</t>
        </r>
        <r>
          <rPr>
            <sz val="10"/>
            <color rgb="FF000000"/>
            <rFont val="等线"/>
            <family val="4"/>
            <charset val="134"/>
            <scheme val="minor"/>
          </rPr>
          <t>如所研究细胞来源于自发性肿瘤动物模型或诱发性肿瘤动物模型，则归为“</t>
        </r>
        <r>
          <rPr>
            <sz val="10"/>
            <color rgb="FF000000"/>
            <rFont val="等线"/>
            <family val="4"/>
            <charset val="134"/>
            <scheme val="minor"/>
          </rPr>
          <t>animal model”</t>
        </r>
        <r>
          <rPr>
            <sz val="10"/>
            <color rgb="FF000000"/>
            <rFont val="等线"/>
            <family val="4"/>
            <charset val="134"/>
            <scheme val="minor"/>
          </rPr>
          <t>选项。如细胞来源于移植瘤肿瘤动物模型，则应归类为”</t>
        </r>
        <r>
          <rPr>
            <sz val="10"/>
            <color rgb="FF000000"/>
            <rFont val="等线"/>
            <family val="4"/>
            <charset val="134"/>
            <scheme val="minor"/>
          </rPr>
          <t>cell line“</t>
        </r>
        <r>
          <rPr>
            <sz val="10"/>
            <color rgb="FF000000"/>
            <rFont val="等线"/>
            <family val="4"/>
            <charset val="134"/>
            <scheme val="minor"/>
          </rPr>
          <t>选项。</t>
        </r>
      </text>
    </comment>
    <comment ref="D21" authorId="0" shapeId="0" xr:uid="{00000000-0006-0000-0000-000003000000}">
      <text>
        <r>
          <rPr>
            <b/>
            <sz val="10"/>
            <color rgb="FF000000"/>
            <rFont val="Microsoft YaHei UI"/>
            <family val="2"/>
            <charset val="134"/>
          </rPr>
          <t xml:space="preserve">Microsoft Office </t>
        </r>
        <r>
          <rPr>
            <b/>
            <sz val="10"/>
            <color rgb="FF000000"/>
            <rFont val="Microsoft YaHei UI"/>
            <family val="2"/>
            <charset val="134"/>
          </rPr>
          <t>用户</t>
        </r>
        <r>
          <rPr>
            <b/>
            <sz val="10"/>
            <color rgb="FF000000"/>
            <rFont val="Microsoft YaHei UI"/>
            <family val="2"/>
            <charset val="134"/>
          </rPr>
          <t>:</t>
        </r>
        <r>
          <rPr>
            <sz val="10"/>
            <color rgb="FF000000"/>
            <rFont val="Microsoft YaHei UI"/>
            <family val="2"/>
            <charset val="134"/>
          </rPr>
          <t xml:space="preserve">
</t>
        </r>
        <r>
          <rPr>
            <sz val="10"/>
            <color rgb="FF000000"/>
            <rFont val="等线"/>
            <family val="4"/>
            <charset val="134"/>
            <scheme val="minor"/>
          </rPr>
          <t>研究中进行比较所选取的参照对象。请根据原文及作者原意在空格处填写参照对象，现象研究中参照为细胞系，如</t>
        </r>
        <r>
          <rPr>
            <sz val="10"/>
            <color rgb="FF000000"/>
            <rFont val="等线"/>
            <family val="4"/>
            <charset val="134"/>
            <scheme val="minor"/>
          </rPr>
          <t>parent Hep2 cells, Paracancerous normal tissue</t>
        </r>
        <r>
          <rPr>
            <sz val="10"/>
            <color rgb="FF000000"/>
            <rFont val="等线"/>
            <family val="4"/>
            <charset val="134"/>
            <scheme val="minor"/>
          </rPr>
          <t>等。</t>
        </r>
      </text>
    </comment>
    <comment ref="D23" authorId="0" shapeId="0" xr:uid="{00000000-0006-0000-0000-000004000000}">
      <text>
        <r>
          <rPr>
            <b/>
            <sz val="10"/>
            <color rgb="FF000000"/>
            <rFont val="Microsoft YaHei UI"/>
            <family val="2"/>
            <charset val="134"/>
          </rPr>
          <t xml:space="preserve">Microsoft Office </t>
        </r>
        <r>
          <rPr>
            <b/>
            <sz val="10"/>
            <color rgb="FF000000"/>
            <rFont val="Microsoft YaHei UI"/>
            <family val="2"/>
            <charset val="134"/>
          </rPr>
          <t>用户</t>
        </r>
        <r>
          <rPr>
            <b/>
            <sz val="10"/>
            <color rgb="FF000000"/>
            <rFont val="Microsoft YaHei UI"/>
            <family val="2"/>
            <charset val="134"/>
          </rPr>
          <t>:</t>
        </r>
        <r>
          <rPr>
            <sz val="10"/>
            <color rgb="FF000000"/>
            <rFont val="Microsoft YaHei UI"/>
            <family val="2"/>
            <charset val="134"/>
          </rPr>
          <t xml:space="preserve">
</t>
        </r>
        <r>
          <rPr>
            <sz val="10"/>
            <color rgb="FF000000"/>
            <rFont val="等线"/>
            <family val="4"/>
            <charset val="134"/>
            <scheme val="minor"/>
          </rPr>
          <t>请选用文中所列出的分子名称，一个问卷只填写一个分子。如有多个分子，请新增子条目填写。</t>
        </r>
        <r>
          <rPr>
            <sz val="10"/>
            <color rgb="FF000000"/>
            <rFont val="等线"/>
            <family val="4"/>
            <charset val="134"/>
            <scheme val="minor"/>
          </rPr>
          <t xml:space="preserve">
</t>
        </r>
        <r>
          <rPr>
            <sz val="10"/>
            <color rgb="FF000000"/>
            <rFont val="等线"/>
            <family val="4"/>
            <charset val="134"/>
            <scheme val="minor"/>
          </rPr>
          <t>1</t>
        </r>
        <r>
          <rPr>
            <sz val="10"/>
            <color rgb="FF000000"/>
            <rFont val="等线"/>
            <family val="4"/>
            <charset val="134"/>
            <scheme val="minor"/>
          </rPr>
          <t>.</t>
        </r>
        <r>
          <rPr>
            <sz val="10"/>
            <color rgb="FF000000"/>
            <rFont val="等线"/>
            <family val="4"/>
            <charset val="134"/>
            <scheme val="minor"/>
          </rPr>
          <t xml:space="preserve"> </t>
        </r>
        <r>
          <rPr>
            <sz val="10"/>
            <color rgb="FF000000"/>
            <rFont val="等线"/>
            <family val="4"/>
            <charset val="134"/>
            <scheme val="minor"/>
          </rPr>
          <t>如果突变或甲基化仅涉及明确的单个基因（如点突变），则填写</t>
        </r>
        <r>
          <rPr>
            <sz val="10"/>
            <color rgb="FF000000"/>
            <rFont val="等线"/>
            <family val="4"/>
            <charset val="134"/>
            <scheme val="minor"/>
          </rPr>
          <t>gene</t>
        </r>
        <r>
          <rPr>
            <sz val="10"/>
            <color rgb="FF000000"/>
            <rFont val="等线"/>
            <family val="4"/>
            <charset val="134"/>
            <scheme val="minor"/>
          </rPr>
          <t>名称及</t>
        </r>
        <r>
          <rPr>
            <sz val="10"/>
            <color rgb="FF000000"/>
            <rFont val="等线"/>
            <family val="4"/>
            <charset val="134"/>
            <scheme val="minor"/>
          </rPr>
          <t>ID</t>
        </r>
        <r>
          <rPr>
            <sz val="10"/>
            <color rgb="FF000000"/>
            <rFont val="等线"/>
            <family val="4"/>
            <charset val="134"/>
            <scheme val="minor"/>
          </rPr>
          <t>；</t>
        </r>
        <r>
          <rPr>
            <sz val="10"/>
            <color rgb="FF000000"/>
            <rFont val="等线"/>
            <family val="4"/>
            <charset val="134"/>
            <scheme val="minor"/>
          </rPr>
          <t>gene</t>
        </r>
        <r>
          <rPr>
            <sz val="10"/>
            <color rgb="FF000000"/>
            <rFont val="等线"/>
            <family val="4"/>
            <charset val="134"/>
            <scheme val="minor"/>
          </rPr>
          <t>名称及</t>
        </r>
        <r>
          <rPr>
            <sz val="10"/>
            <color rgb="FF000000"/>
            <rFont val="等线"/>
            <family val="4"/>
            <charset val="134"/>
            <scheme val="minor"/>
          </rPr>
          <t>ID</t>
        </r>
        <r>
          <rPr>
            <sz val="10"/>
            <color rgb="FF000000"/>
            <rFont val="等线"/>
            <family val="4"/>
            <charset val="134"/>
            <scheme val="minor"/>
          </rPr>
          <t>的输入：先选择“</t>
        </r>
        <r>
          <rPr>
            <sz val="10"/>
            <color rgb="FF000000"/>
            <rFont val="等线"/>
            <family val="4"/>
            <charset val="134"/>
            <scheme val="minor"/>
          </rPr>
          <t>[</t>
        </r>
        <r>
          <rPr>
            <sz val="10"/>
            <color rgb="FF000000"/>
            <rFont val="等线"/>
            <family val="4"/>
            <charset val="134"/>
            <scheme val="minor"/>
          </rPr>
          <t>选填</t>
        </r>
        <r>
          <rPr>
            <sz val="10"/>
            <color rgb="FF000000"/>
            <rFont val="等线"/>
            <family val="4"/>
            <charset val="134"/>
            <scheme val="minor"/>
          </rPr>
          <t>]”</t>
        </r>
        <r>
          <rPr>
            <sz val="10"/>
            <color rgb="FF000000"/>
            <rFont val="等线"/>
            <family val="4"/>
            <charset val="134"/>
            <scheme val="minor"/>
          </rPr>
          <t>，删除</t>
        </r>
        <r>
          <rPr>
            <sz val="10"/>
            <color rgb="FF000000"/>
            <rFont val="等线"/>
            <family val="4"/>
            <charset val="134"/>
            <scheme val="minor"/>
          </rPr>
          <t>后，手动输入</t>
        </r>
        <r>
          <rPr>
            <sz val="10"/>
            <color rgb="FF000000"/>
            <rFont val="等线"/>
            <family val="4"/>
            <charset val="134"/>
            <scheme val="minor"/>
          </rPr>
          <t>名称或</t>
        </r>
        <r>
          <rPr>
            <sz val="10"/>
            <color rgb="FF000000"/>
            <rFont val="等线"/>
            <family val="4"/>
            <charset val="134"/>
            <scheme val="minor"/>
          </rPr>
          <t>ID</t>
        </r>
        <r>
          <rPr>
            <sz val="10"/>
            <color rgb="FF000000"/>
            <rFont val="等线"/>
            <family val="4"/>
            <charset val="134"/>
            <scheme val="minor"/>
          </rPr>
          <t>号；</t>
        </r>
        <r>
          <rPr>
            <sz val="10"/>
            <color rgb="FF000000"/>
            <rFont val="等线"/>
            <family val="4"/>
            <charset val="134"/>
            <scheme val="minor"/>
          </rPr>
          <t xml:space="preserve">
</t>
        </r>
        <r>
          <rPr>
            <sz val="10"/>
            <color rgb="FF000000"/>
            <rFont val="等线"/>
            <family val="4"/>
            <charset val="134"/>
            <scheme val="minor"/>
          </rPr>
          <t>2</t>
        </r>
        <r>
          <rPr>
            <sz val="10"/>
            <color rgb="FF000000"/>
            <rFont val="等线"/>
            <family val="4"/>
            <charset val="134"/>
            <scheme val="minor"/>
          </rPr>
          <t>.</t>
        </r>
        <r>
          <rPr>
            <sz val="10"/>
            <color rgb="FF000000"/>
            <rFont val="等线"/>
            <family val="4"/>
            <charset val="134"/>
            <scheme val="minor"/>
          </rPr>
          <t xml:space="preserve"> </t>
        </r>
        <r>
          <rPr>
            <sz val="10"/>
            <color rgb="FF000000"/>
            <rFont val="等线"/>
            <family val="4"/>
            <charset val="134"/>
            <scheme val="minor"/>
          </rPr>
          <t>如涉及多个基因或大片基因，则不填写具体</t>
        </r>
        <r>
          <rPr>
            <sz val="10"/>
            <color rgb="FF000000"/>
            <rFont val="等线"/>
            <family val="4"/>
            <charset val="134"/>
            <scheme val="minor"/>
          </rPr>
          <t>gene</t>
        </r>
        <r>
          <rPr>
            <sz val="10"/>
            <color rgb="FF000000"/>
            <rFont val="等线"/>
            <family val="4"/>
            <charset val="134"/>
            <scheme val="minor"/>
          </rPr>
          <t>名称及</t>
        </r>
        <r>
          <rPr>
            <sz val="10"/>
            <color rgb="FF000000"/>
            <rFont val="等线"/>
            <family val="4"/>
            <charset val="134"/>
            <scheme val="minor"/>
          </rPr>
          <t>ID</t>
        </r>
        <r>
          <rPr>
            <sz val="10"/>
            <color rgb="FF000000"/>
            <rFont val="等线"/>
            <family val="4"/>
            <charset val="134"/>
            <scheme val="minor"/>
          </rPr>
          <t>，仅填写相应突变或甲基化的具体名称，</t>
        </r>
        <r>
          <rPr>
            <sz val="10"/>
            <color rgb="FF000000"/>
            <rFont val="等线"/>
            <family val="4"/>
            <charset val="134"/>
            <scheme val="minor"/>
          </rPr>
          <t>ID</t>
        </r>
        <r>
          <rPr>
            <sz val="10"/>
            <color rgb="FF000000"/>
            <rFont val="等线"/>
            <family val="4"/>
            <charset val="134"/>
            <scheme val="minor"/>
          </rPr>
          <t>选择“</t>
        </r>
        <r>
          <rPr>
            <sz val="10"/>
            <color rgb="FF000000"/>
            <rFont val="等线"/>
            <family val="4"/>
            <charset val="134"/>
            <scheme val="minor"/>
          </rPr>
          <t>NA</t>
        </r>
        <r>
          <rPr>
            <sz val="10"/>
            <color rgb="FF000000"/>
            <rFont val="等线"/>
            <family val="4"/>
            <charset val="134"/>
            <scheme val="minor"/>
          </rPr>
          <t>”。</t>
        </r>
      </text>
    </comment>
    <comment ref="D24" authorId="0" shapeId="0" xr:uid="{00000000-0006-0000-0000-000005000000}">
      <text>
        <r>
          <rPr>
            <b/>
            <sz val="10"/>
            <color rgb="FF000000"/>
            <rFont val="Microsoft YaHei UI"/>
            <family val="2"/>
            <charset val="134"/>
          </rPr>
          <t xml:space="preserve">Microsoft Office </t>
        </r>
        <r>
          <rPr>
            <b/>
            <sz val="10"/>
            <color rgb="FF000000"/>
            <rFont val="Microsoft YaHei UI"/>
            <family val="2"/>
            <charset val="134"/>
          </rPr>
          <t>用户</t>
        </r>
        <r>
          <rPr>
            <b/>
            <sz val="10"/>
            <color rgb="FF000000"/>
            <rFont val="Microsoft YaHei UI"/>
            <family val="2"/>
            <charset val="134"/>
          </rPr>
          <t>:</t>
        </r>
        <r>
          <rPr>
            <sz val="10"/>
            <color rgb="FF000000"/>
            <rFont val="Microsoft YaHei UI"/>
            <family val="2"/>
            <charset val="134"/>
          </rPr>
          <t xml:space="preserve">
</t>
        </r>
        <r>
          <rPr>
            <sz val="10"/>
            <color rgb="FF000000"/>
            <rFont val="等线"/>
            <family val="4"/>
            <charset val="134"/>
            <scheme val="minor"/>
          </rPr>
          <t>名称及</t>
        </r>
        <r>
          <rPr>
            <sz val="10"/>
            <color rgb="FF000000"/>
            <rFont val="等线"/>
            <family val="4"/>
            <charset val="134"/>
            <scheme val="minor"/>
          </rPr>
          <t>ID</t>
        </r>
        <r>
          <rPr>
            <sz val="10"/>
            <color rgb="FF000000"/>
            <rFont val="等线"/>
            <family val="4"/>
            <charset val="134"/>
            <scheme val="minor"/>
          </rPr>
          <t>的输入：先选择“</t>
        </r>
        <r>
          <rPr>
            <sz val="10"/>
            <color rgb="FF000000"/>
            <rFont val="等线"/>
            <family val="4"/>
            <charset val="134"/>
            <scheme val="minor"/>
          </rPr>
          <t>[</t>
        </r>
        <r>
          <rPr>
            <sz val="10"/>
            <color rgb="FF000000"/>
            <rFont val="等线"/>
            <family val="4"/>
            <charset val="134"/>
            <scheme val="minor"/>
          </rPr>
          <t>选填</t>
        </r>
        <r>
          <rPr>
            <sz val="10"/>
            <color rgb="FF000000"/>
            <rFont val="等线"/>
            <family val="4"/>
            <charset val="134"/>
            <scheme val="minor"/>
          </rPr>
          <t>]”</t>
        </r>
        <r>
          <rPr>
            <sz val="10"/>
            <color rgb="FF000000"/>
            <rFont val="等线"/>
            <family val="4"/>
            <charset val="134"/>
            <scheme val="minor"/>
          </rPr>
          <t>，删除</t>
        </r>
        <r>
          <rPr>
            <sz val="10"/>
            <color rgb="FF000000"/>
            <rFont val="等线"/>
            <family val="4"/>
            <charset val="134"/>
            <scheme val="minor"/>
          </rPr>
          <t>后</t>
        </r>
        <r>
          <rPr>
            <sz val="10"/>
            <color rgb="FF000000"/>
            <rFont val="等线"/>
            <family val="4"/>
            <charset val="134"/>
            <scheme val="minor"/>
          </rPr>
          <t>，</t>
        </r>
        <r>
          <rPr>
            <sz val="10"/>
            <color rgb="FF000000"/>
            <rFont val="等线"/>
            <family val="4"/>
            <charset val="134"/>
            <scheme val="minor"/>
          </rPr>
          <t>手动输入名称或</t>
        </r>
        <r>
          <rPr>
            <sz val="10"/>
            <color rgb="FF000000"/>
            <rFont val="等线"/>
            <family val="4"/>
            <charset val="134"/>
            <scheme val="minor"/>
          </rPr>
          <t>ID</t>
        </r>
        <r>
          <rPr>
            <sz val="10"/>
            <color rgb="FF000000"/>
            <rFont val="等线"/>
            <family val="4"/>
            <charset val="134"/>
            <scheme val="minor"/>
          </rPr>
          <t>号</t>
        </r>
        <r>
          <rPr>
            <sz val="10"/>
            <color rgb="FF000000"/>
            <rFont val="等线"/>
            <family val="4"/>
            <charset val="134"/>
            <scheme val="minor"/>
          </rPr>
          <t>。</t>
        </r>
      </text>
    </comment>
  </commentList>
</comments>
</file>

<file path=xl/sharedStrings.xml><?xml version="1.0" encoding="utf-8"?>
<sst xmlns="http://schemas.openxmlformats.org/spreadsheetml/2006/main" count="2804" uniqueCount="322">
  <si>
    <t>Title</t>
    <phoneticPr fontId="1" type="noConversion"/>
  </si>
  <si>
    <t>PMID</t>
    <rPh sb="0" eb="1">
      <t>hao</t>
    </rPh>
    <phoneticPr fontId="1" type="noConversion"/>
  </si>
  <si>
    <t>Tumor_Type</t>
    <phoneticPr fontId="1" type="noConversion"/>
  </si>
  <si>
    <t>Sample_Type</t>
    <phoneticPr fontId="1" type="noConversion"/>
  </si>
  <si>
    <t>Sample_Name</t>
    <phoneticPr fontId="1" type="noConversion"/>
  </si>
  <si>
    <t>Reference_Object</t>
    <phoneticPr fontId="1" type="noConversion"/>
  </si>
  <si>
    <t>Type_of_Molecular_Biological_Change</t>
    <phoneticPr fontId="1" type="noConversion"/>
  </si>
  <si>
    <t>Result_of_Molecular_Biological_Change</t>
    <phoneticPr fontId="1" type="noConversion"/>
  </si>
  <si>
    <t>Signature</t>
    <phoneticPr fontId="1" type="noConversion"/>
  </si>
  <si>
    <t>cell_line</t>
    <phoneticPr fontId="1" type="noConversion"/>
  </si>
  <si>
    <t>animal_model</t>
    <phoneticPr fontId="1" type="noConversion"/>
  </si>
  <si>
    <t>human_tissue</t>
    <phoneticPr fontId="1" type="noConversion"/>
  </si>
  <si>
    <t>others</t>
    <phoneticPr fontId="1" type="noConversion"/>
  </si>
  <si>
    <t>gene_expression</t>
    <phoneticPr fontId="1" type="noConversion"/>
  </si>
  <si>
    <t>protein_level</t>
    <phoneticPr fontId="1" type="noConversion"/>
  </si>
  <si>
    <t>microRNA_level</t>
    <phoneticPr fontId="1" type="noConversion"/>
  </si>
  <si>
    <t>non_coding_RNA_level</t>
    <phoneticPr fontId="1" type="noConversion"/>
  </si>
  <si>
    <t>somatic_mutation</t>
    <phoneticPr fontId="1" type="noConversion"/>
  </si>
  <si>
    <t>DNA_methylation</t>
    <phoneticPr fontId="1" type="noConversion"/>
  </si>
  <si>
    <t>NA</t>
    <phoneticPr fontId="1" type="noConversion"/>
  </si>
  <si>
    <t>Sub_Tumor_Type</t>
    <phoneticPr fontId="1" type="noConversion"/>
  </si>
  <si>
    <t>no change</t>
    <phoneticPr fontId="1" type="noConversion"/>
  </si>
  <si>
    <t>up</t>
    <phoneticPr fontId="1" type="noConversion"/>
  </si>
  <si>
    <t>down</t>
    <phoneticPr fontId="1" type="noConversion"/>
  </si>
  <si>
    <t>Name_of_Changed_Molecule</t>
    <rPh sb="0" eb="1">
      <t>ji</t>
    </rPh>
    <phoneticPr fontId="1" type="noConversion"/>
  </si>
  <si>
    <r>
      <rPr>
        <sz val="12"/>
        <color theme="1"/>
        <rFont val="Adobe 仿宋 Std R"/>
        <family val="1"/>
        <charset val="134"/>
      </rPr>
      <t>字段名称</t>
    </r>
    <rPh sb="0" eb="2">
      <t>zi duan</t>
    </rPh>
    <phoneticPr fontId="1" type="noConversion"/>
  </si>
  <si>
    <r>
      <rPr>
        <sz val="12"/>
        <color theme="1"/>
        <rFont val="Adobe 仿宋 Std R"/>
        <family val="1"/>
        <charset val="134"/>
      </rPr>
      <t>字段编码</t>
    </r>
    <rPh sb="0" eb="2">
      <t>zi duan</t>
    </rPh>
    <phoneticPr fontId="1" type="noConversion"/>
  </si>
  <si>
    <r>
      <rPr>
        <sz val="12"/>
        <color theme="1"/>
        <rFont val="Adobe 仿宋 Std R"/>
        <family val="1"/>
        <charset val="134"/>
      </rPr>
      <t>文献基本信息</t>
    </r>
    <rPh sb="0" eb="2">
      <t>wen xian</t>
    </rPh>
    <phoneticPr fontId="1" type="noConversion"/>
  </si>
  <si>
    <r>
      <rPr>
        <sz val="12"/>
        <color theme="1"/>
        <rFont val="Adobe 仿宋 Std R"/>
        <family val="1"/>
        <charset val="134"/>
      </rPr>
      <t>文献的标题</t>
    </r>
    <rPh sb="0" eb="2">
      <t>wen xian</t>
    </rPh>
    <phoneticPr fontId="1" type="noConversion"/>
  </si>
  <si>
    <r>
      <rPr>
        <sz val="12"/>
        <color theme="1"/>
        <rFont val="Adobe 仿宋 Std R"/>
        <family val="1"/>
        <charset val="134"/>
      </rPr>
      <t>（一）起点：对象</t>
    </r>
    <rPh sb="0" eb="2">
      <t>qi dian</t>
    </rPh>
    <phoneticPr fontId="1" type="noConversion"/>
  </si>
  <si>
    <r>
      <t xml:space="preserve">1.1 </t>
    </r>
    <r>
      <rPr>
        <sz val="12"/>
        <color theme="1"/>
        <rFont val="Adobe 仿宋 Std R"/>
        <family val="1"/>
        <charset val="134"/>
      </rPr>
      <t>肿瘤类型</t>
    </r>
    <rPh sb="0" eb="2">
      <t>zhong liu</t>
    </rPh>
    <phoneticPr fontId="1" type="noConversion"/>
  </si>
  <si>
    <r>
      <t xml:space="preserve">1.1.1 </t>
    </r>
    <r>
      <rPr>
        <sz val="12"/>
        <color theme="1"/>
        <rFont val="Adobe 仿宋 Std R"/>
        <family val="1"/>
        <charset val="134"/>
      </rPr>
      <t>子类型</t>
    </r>
    <rPh sb="0" eb="2">
      <t>zhong liu</t>
    </rPh>
    <phoneticPr fontId="1" type="noConversion"/>
  </si>
  <si>
    <r>
      <t xml:space="preserve">1.2 </t>
    </r>
    <r>
      <rPr>
        <sz val="12"/>
        <color theme="1"/>
        <rFont val="Adobe 仿宋 Std R"/>
        <family val="1"/>
        <charset val="134"/>
      </rPr>
      <t>样本类型</t>
    </r>
    <rPh sb="0" eb="2">
      <t>yang ben</t>
    </rPh>
    <phoneticPr fontId="1" type="noConversion"/>
  </si>
  <si>
    <r>
      <t xml:space="preserve">1.3 </t>
    </r>
    <r>
      <rPr>
        <sz val="12"/>
        <color theme="1"/>
        <rFont val="Adobe 仿宋 Std R"/>
        <family val="1"/>
        <charset val="134"/>
      </rPr>
      <t>样本名称</t>
    </r>
    <rPh sb="0" eb="2">
      <t>xiang ben</t>
    </rPh>
    <phoneticPr fontId="1" type="noConversion"/>
  </si>
  <si>
    <r>
      <rPr>
        <sz val="12"/>
        <color theme="1"/>
        <rFont val="Adobe 仿宋 Std R"/>
        <family val="1"/>
        <charset val="134"/>
      </rPr>
      <t>其他</t>
    </r>
    <rPh sb="0" eb="2">
      <t>qi t</t>
    </rPh>
    <phoneticPr fontId="1" type="noConversion"/>
  </si>
  <si>
    <r>
      <rPr>
        <sz val="12"/>
        <color theme="1"/>
        <rFont val="Adobe 仿宋 Std R"/>
        <family val="1"/>
        <charset val="134"/>
      </rPr>
      <t>原文关键语句</t>
    </r>
    <rPh sb="0" eb="2">
      <t>yuan wen</t>
    </rPh>
    <phoneticPr fontId="1" type="noConversion"/>
  </si>
  <si>
    <r>
      <rPr>
        <sz val="12"/>
        <color theme="1"/>
        <rFont val="Adobe 仿宋 Std R"/>
        <family val="1"/>
        <charset val="134"/>
      </rPr>
      <t>录入者姓名</t>
    </r>
    <rPh sb="0" eb="2">
      <t>lu ru</t>
    </rPh>
    <phoneticPr fontId="1" type="noConversion"/>
  </si>
  <si>
    <r>
      <rPr>
        <sz val="12"/>
        <color theme="1"/>
        <rFont val="Adobe 仿宋 Std R"/>
        <family val="1"/>
        <charset val="134"/>
      </rPr>
      <t>样卷</t>
    </r>
    <r>
      <rPr>
        <sz val="12"/>
        <color theme="1"/>
        <rFont val="Calibri Light"/>
        <family val="2"/>
      </rPr>
      <t xml:space="preserve"> (Record0)</t>
    </r>
    <rPh sb="0" eb="2">
      <t>yang juan</t>
    </rPh>
    <phoneticPr fontId="1" type="noConversion"/>
  </si>
  <si>
    <r>
      <rPr>
        <sz val="12"/>
        <color theme="1"/>
        <rFont val="Adobe 仿宋 Std R"/>
        <family val="1"/>
        <charset val="134"/>
      </rPr>
      <t>文献的</t>
    </r>
    <r>
      <rPr>
        <sz val="12"/>
        <color theme="1"/>
        <rFont val="Calibri Light"/>
        <family val="2"/>
      </rPr>
      <t>ID</t>
    </r>
    <r>
      <rPr>
        <sz val="12"/>
        <color theme="1"/>
        <rFont val="Adobe 仿宋 Std R"/>
        <family val="1"/>
        <charset val="134"/>
      </rPr>
      <t>号</t>
    </r>
    <rPh sb="0" eb="2">
      <t>wen xian</t>
    </rPh>
    <phoneticPr fontId="1" type="noConversion"/>
  </si>
  <si>
    <t>NA</t>
    <phoneticPr fontId="1" type="noConversion"/>
  </si>
  <si>
    <r>
      <t>Cervical_and_Endocervical_Adenocarcinoma_</t>
    </r>
    <r>
      <rPr>
        <sz val="12"/>
        <color theme="1"/>
        <rFont val="Adobe 仿宋 Std R"/>
        <family val="1"/>
        <charset val="134"/>
      </rPr>
      <t>子宫颈腺癌</t>
    </r>
    <rPh sb="0" eb="3">
      <t>zi gong jing</t>
    </rPh>
    <phoneticPr fontId="1" type="noConversion"/>
  </si>
  <si>
    <r>
      <t>Esophageal_Cancer_</t>
    </r>
    <r>
      <rPr>
        <sz val="12"/>
        <color theme="1"/>
        <rFont val="Adobe 仿宋 Std R"/>
        <family val="1"/>
        <charset val="134"/>
      </rPr>
      <t>食管癌</t>
    </r>
    <rPh sb="0" eb="1">
      <t>ai</t>
    </rPh>
    <phoneticPr fontId="1" type="noConversion"/>
  </si>
  <si>
    <r>
      <t>Kidney_Cancer_</t>
    </r>
    <r>
      <rPr>
        <sz val="12"/>
        <color theme="1"/>
        <rFont val="Adobe 仿宋 Std R"/>
        <family val="1"/>
        <charset val="134"/>
      </rPr>
      <t>肾癌</t>
    </r>
    <rPh sb="0" eb="1">
      <t>ai</t>
    </rPh>
    <phoneticPr fontId="1" type="noConversion"/>
  </si>
  <si>
    <r>
      <t>Pancreatic_Cancer_</t>
    </r>
    <r>
      <rPr>
        <sz val="12"/>
        <color theme="1"/>
        <rFont val="Adobe 仿宋 Std R"/>
        <family val="1"/>
        <charset val="134"/>
      </rPr>
      <t>胰腺癌</t>
    </r>
  </si>
  <si>
    <r>
      <t>Rectum_Cancer_</t>
    </r>
    <r>
      <rPr>
        <sz val="12"/>
        <color theme="1"/>
        <rFont val="Adobe 仿宋 Std R"/>
        <family val="1"/>
        <charset val="134"/>
      </rPr>
      <t>直肠癌</t>
    </r>
  </si>
  <si>
    <r>
      <t>Skin_Malignancy_</t>
    </r>
    <r>
      <rPr>
        <sz val="12"/>
        <color theme="1"/>
        <rFont val="Adobe 仿宋 Std R"/>
        <family val="1"/>
        <charset val="134"/>
      </rPr>
      <t>皮肤恶性肿瘤</t>
    </r>
    <rPh sb="0" eb="2">
      <t>e xing</t>
    </rPh>
    <phoneticPr fontId="1" type="noConversion"/>
  </si>
  <si>
    <r>
      <t>Stomach_Cancer_</t>
    </r>
    <r>
      <rPr>
        <sz val="12"/>
        <color theme="1"/>
        <rFont val="Adobe 仿宋 Std R"/>
        <family val="1"/>
        <charset val="134"/>
      </rPr>
      <t>胃癌</t>
    </r>
  </si>
  <si>
    <r>
      <t>[</t>
    </r>
    <r>
      <rPr>
        <sz val="12"/>
        <color theme="1"/>
        <rFont val="Adobe 仿宋 Std R"/>
        <family val="1"/>
        <charset val="134"/>
      </rPr>
      <t>选填</t>
    </r>
    <r>
      <rPr>
        <sz val="12"/>
        <color theme="1"/>
        <rFont val="Calibri Light"/>
        <family val="2"/>
      </rPr>
      <t>]</t>
    </r>
    <rPh sb="0" eb="2">
      <t>xuan tian</t>
    </rPh>
    <phoneticPr fontId="1" type="noConversion"/>
  </si>
  <si>
    <r>
      <t>Bladder_Urothelial_Carcinoma_</t>
    </r>
    <r>
      <rPr>
        <sz val="12"/>
        <color theme="1"/>
        <rFont val="Adobe 仿宋 Std R"/>
        <family val="1"/>
        <charset val="134"/>
      </rPr>
      <t>膀胱尿路上皮癌</t>
    </r>
    <r>
      <rPr>
        <sz val="12"/>
        <color theme="1"/>
        <rFont val="Calibri Light"/>
        <family val="2"/>
      </rPr>
      <t>_BLCA</t>
    </r>
  </si>
  <si>
    <r>
      <t>Brain_Higher_Grade_Glioma_</t>
    </r>
    <r>
      <rPr>
        <sz val="12"/>
        <color theme="1"/>
        <rFont val="Adobe 仿宋 Std R"/>
        <family val="1"/>
        <charset val="134"/>
      </rPr>
      <t>脑高级别神经胶质瘤</t>
    </r>
    <r>
      <rPr>
        <sz val="12"/>
        <color theme="1"/>
        <rFont val="Calibri Light"/>
        <family val="2"/>
      </rPr>
      <t>_HGG</t>
    </r>
    <rPh sb="0" eb="1">
      <t>gao</t>
    </rPh>
    <phoneticPr fontId="1" type="noConversion"/>
  </si>
  <si>
    <r>
      <t>Glioblastoma_Multiforme_</t>
    </r>
    <r>
      <rPr>
        <sz val="12"/>
        <color theme="1"/>
        <rFont val="Adobe 仿宋 Std R"/>
        <family val="1"/>
        <charset val="134"/>
      </rPr>
      <t>胶质母细胞瘤</t>
    </r>
    <r>
      <rPr>
        <sz val="12"/>
        <color theme="1"/>
        <rFont val="Calibri Light"/>
        <family val="2"/>
      </rPr>
      <t>_GBM</t>
    </r>
  </si>
  <si>
    <r>
      <t>Cervical_Carcinoma_</t>
    </r>
    <r>
      <rPr>
        <sz val="12"/>
        <color theme="1"/>
        <rFont val="Adobe 仿宋 Std R"/>
        <family val="1"/>
        <charset val="134"/>
      </rPr>
      <t>子宫颈癌</t>
    </r>
    <r>
      <rPr>
        <sz val="12"/>
        <color theme="1"/>
        <rFont val="Calibri Light"/>
        <family val="2"/>
      </rPr>
      <t>_CECA</t>
    </r>
    <rPh sb="0" eb="2">
      <t>zi gong</t>
    </rPh>
    <phoneticPr fontId="1" type="noConversion"/>
  </si>
  <si>
    <r>
      <t>Cervical_Squamous_Cell_Carcinoma_</t>
    </r>
    <r>
      <rPr>
        <sz val="12"/>
        <color theme="1"/>
        <rFont val="Adobe 仿宋 Std R"/>
        <family val="1"/>
        <charset val="134"/>
      </rPr>
      <t>子宫颈鳞癌</t>
    </r>
    <r>
      <rPr>
        <sz val="12"/>
        <color theme="1"/>
        <rFont val="Calibri Light"/>
        <family val="2"/>
      </rPr>
      <t>_CSCC</t>
    </r>
    <rPh sb="0" eb="1">
      <t>ai</t>
    </rPh>
    <phoneticPr fontId="1" type="noConversion"/>
  </si>
  <si>
    <r>
      <t>Colon_Adenocarcinoma_</t>
    </r>
    <r>
      <rPr>
        <sz val="12"/>
        <color theme="1"/>
        <rFont val="Adobe 仿宋 Std R"/>
        <family val="1"/>
        <charset val="134"/>
      </rPr>
      <t>结肠腺癌</t>
    </r>
    <r>
      <rPr>
        <sz val="12"/>
        <color theme="1"/>
        <rFont val="Calibri Light"/>
        <family val="2"/>
      </rPr>
      <t>_COAD</t>
    </r>
  </si>
  <si>
    <r>
      <t>Esophageal_Squamous_Cell_Carcinoma_</t>
    </r>
    <r>
      <rPr>
        <sz val="12"/>
        <color theme="1"/>
        <rFont val="Adobe 仿宋 Std R"/>
        <family val="1"/>
        <charset val="134"/>
      </rPr>
      <t>食管鳞癌</t>
    </r>
    <r>
      <rPr>
        <sz val="12"/>
        <color theme="1"/>
        <rFont val="Calibri Light"/>
        <family val="2"/>
      </rPr>
      <t>_ESCC</t>
    </r>
  </si>
  <si>
    <r>
      <t>Esophageal_Adenocarcinoma_</t>
    </r>
    <r>
      <rPr>
        <sz val="12"/>
        <color theme="1"/>
        <rFont val="Adobe 仿宋 Std R"/>
        <family val="1"/>
        <charset val="134"/>
      </rPr>
      <t>食管腺癌</t>
    </r>
    <r>
      <rPr>
        <sz val="12"/>
        <color theme="1"/>
        <rFont val="Calibri Light"/>
        <family val="2"/>
      </rPr>
      <t>_EAC</t>
    </r>
  </si>
  <si>
    <r>
      <t>Hodgkin_Lymphoma_</t>
    </r>
    <r>
      <rPr>
        <sz val="12"/>
        <color theme="1"/>
        <rFont val="Adobe 仿宋 Std R"/>
        <family val="1"/>
        <charset val="134"/>
      </rPr>
      <t>霍奇金淋巴瘤</t>
    </r>
    <r>
      <rPr>
        <sz val="12"/>
        <color theme="1"/>
        <rFont val="Calibri Light"/>
        <family val="2"/>
      </rPr>
      <t>_HL</t>
    </r>
    <rPh sb="0" eb="3">
      <t>huo qi jin</t>
    </rPh>
    <phoneticPr fontId="1" type="noConversion"/>
  </si>
  <si>
    <r>
      <t>Kidney_Chromophobe_</t>
    </r>
    <r>
      <rPr>
        <sz val="12"/>
        <color theme="1"/>
        <rFont val="Adobe 仿宋 Std R"/>
        <family val="1"/>
        <charset val="134"/>
      </rPr>
      <t>肾嫌色细胞癌</t>
    </r>
    <r>
      <rPr>
        <sz val="12"/>
        <color theme="1"/>
        <rFont val="Calibri Light"/>
        <family val="2"/>
      </rPr>
      <t>_KICH</t>
    </r>
  </si>
  <si>
    <r>
      <t>Kidney_Re_l_Clear_Cell_Carcinoma_</t>
    </r>
    <r>
      <rPr>
        <sz val="12"/>
        <color theme="1"/>
        <rFont val="Adobe 仿宋 Std R"/>
        <family val="1"/>
        <charset val="134"/>
      </rPr>
      <t>肾透明细胞癌</t>
    </r>
    <r>
      <rPr>
        <sz val="12"/>
        <color theme="1"/>
        <rFont val="Calibri Light"/>
        <family val="2"/>
      </rPr>
      <t>_KIRC</t>
    </r>
  </si>
  <si>
    <r>
      <t>Kidney_Re_l_Papillary_Cell_Carcinoma_</t>
    </r>
    <r>
      <rPr>
        <sz val="12"/>
        <color theme="1"/>
        <rFont val="Adobe 仿宋 Std R"/>
        <family val="1"/>
        <charset val="134"/>
      </rPr>
      <t>肾乳头细胞癌</t>
    </r>
    <r>
      <rPr>
        <sz val="12"/>
        <color theme="1"/>
        <rFont val="Calibri Light"/>
        <family val="2"/>
      </rPr>
      <t>_KIRP</t>
    </r>
  </si>
  <si>
    <r>
      <t>Acute_Myeloid_Leukemia_</t>
    </r>
    <r>
      <rPr>
        <sz val="12"/>
        <color theme="1"/>
        <rFont val="Adobe 仿宋 Std R"/>
        <family val="1"/>
        <charset val="134"/>
      </rPr>
      <t>急性髓细胞样白血病</t>
    </r>
    <r>
      <rPr>
        <sz val="12"/>
        <color theme="1"/>
        <rFont val="Calibri Light"/>
        <family val="2"/>
      </rPr>
      <t>_LAML</t>
    </r>
  </si>
  <si>
    <r>
      <t>Chronic_Myelogenous_Leukemia_</t>
    </r>
    <r>
      <rPr>
        <sz val="12"/>
        <color theme="1"/>
        <rFont val="Adobe 仿宋 Std R"/>
        <family val="1"/>
        <charset val="134"/>
      </rPr>
      <t>慢性髓细胞性白血病</t>
    </r>
    <r>
      <rPr>
        <sz val="12"/>
        <color theme="1"/>
        <rFont val="Calibri Light"/>
        <family val="2"/>
      </rPr>
      <t>_LCML</t>
    </r>
  </si>
  <si>
    <r>
      <t>Skin_Cutaneous_Melanoma_</t>
    </r>
    <r>
      <rPr>
        <sz val="12"/>
        <color rgb="FF000000"/>
        <rFont val="Adobe 仿宋 Std R"/>
        <family val="1"/>
        <charset val="134"/>
      </rPr>
      <t>皮肤黑色素瘤</t>
    </r>
    <r>
      <rPr>
        <sz val="12"/>
        <color rgb="FF000000"/>
        <rFont val="Calibri Light"/>
        <family val="2"/>
      </rPr>
      <t>_SKCM</t>
    </r>
  </si>
  <si>
    <r>
      <t>Non_Hodgkin_Lymphoma_</t>
    </r>
    <r>
      <rPr>
        <sz val="12"/>
        <color theme="1"/>
        <rFont val="Adobe 仿宋 Std R"/>
        <family val="1"/>
        <charset val="134"/>
      </rPr>
      <t>非霍奇金淋巴瘤</t>
    </r>
    <r>
      <rPr>
        <sz val="12"/>
        <color theme="1"/>
        <rFont val="Calibri Light"/>
        <family val="2"/>
      </rPr>
      <t>_NHL</t>
    </r>
    <rPh sb="0" eb="1">
      <t>fei</t>
    </rPh>
    <phoneticPr fontId="1" type="noConversion"/>
  </si>
  <si>
    <r>
      <t>Diffuse_Large_B_cell_Lymphoma_</t>
    </r>
    <r>
      <rPr>
        <sz val="12"/>
        <color theme="1"/>
        <rFont val="Adobe 仿宋 Std R"/>
        <family val="1"/>
        <charset val="134"/>
      </rPr>
      <t>弥漫性大</t>
    </r>
    <r>
      <rPr>
        <sz val="12"/>
        <color theme="1"/>
        <rFont val="Calibri Light"/>
        <family val="2"/>
      </rPr>
      <t>B</t>
    </r>
    <r>
      <rPr>
        <sz val="12"/>
        <color theme="1"/>
        <rFont val="Adobe 仿宋 Std R"/>
        <family val="1"/>
        <charset val="134"/>
      </rPr>
      <t>细胞淋巴瘤</t>
    </r>
    <r>
      <rPr>
        <sz val="12"/>
        <color theme="1"/>
        <rFont val="Calibri Light"/>
        <family val="2"/>
      </rPr>
      <t>_DLBC</t>
    </r>
  </si>
  <si>
    <r>
      <t>Non_Small_Cell_Lung_Cancer_</t>
    </r>
    <r>
      <rPr>
        <sz val="12"/>
        <color theme="1"/>
        <rFont val="Adobe 仿宋 Std R"/>
        <family val="1"/>
        <charset val="134"/>
      </rPr>
      <t>非小细胞肺癌</t>
    </r>
    <r>
      <rPr>
        <sz val="12"/>
        <color theme="1"/>
        <rFont val="Calibri Light"/>
        <family val="2"/>
      </rPr>
      <t>_NSCLC</t>
    </r>
    <rPh sb="0" eb="4">
      <t>fei xiao xi bao</t>
    </rPh>
    <phoneticPr fontId="1" type="noConversion"/>
  </si>
  <si>
    <r>
      <t>Lung_Adenocarcinoma_</t>
    </r>
    <r>
      <rPr>
        <sz val="12"/>
        <color theme="1"/>
        <rFont val="Adobe 仿宋 Std R"/>
        <family val="1"/>
        <charset val="134"/>
      </rPr>
      <t>肺腺癌</t>
    </r>
    <r>
      <rPr>
        <sz val="12"/>
        <color theme="1"/>
        <rFont val="Calibri Light"/>
        <family val="2"/>
      </rPr>
      <t>_LUAD</t>
    </r>
  </si>
  <si>
    <r>
      <t>Lung_Squamous_Cell_Carcinoma_</t>
    </r>
    <r>
      <rPr>
        <sz val="12"/>
        <color theme="1"/>
        <rFont val="Adobe 仿宋 Std R"/>
        <family val="1"/>
        <charset val="134"/>
      </rPr>
      <t>肺鳞状细胞癌</t>
    </r>
    <r>
      <rPr>
        <sz val="12"/>
        <color theme="1"/>
        <rFont val="Calibri Light"/>
        <family val="2"/>
      </rPr>
      <t>_LUSC</t>
    </r>
  </si>
  <si>
    <r>
      <t>Ovarian_Serous_Cystadenocarcinoma_</t>
    </r>
    <r>
      <rPr>
        <sz val="12"/>
        <color theme="1"/>
        <rFont val="Adobe 仿宋 Std R"/>
        <family val="1"/>
        <charset val="134"/>
      </rPr>
      <t>卵巢浆液性囊腺癌</t>
    </r>
    <r>
      <rPr>
        <sz val="12"/>
        <color theme="1"/>
        <rFont val="Calibri Light"/>
        <family val="2"/>
      </rPr>
      <t>_OV</t>
    </r>
  </si>
  <si>
    <r>
      <t>Pancreatic_Adenocarcinoma_</t>
    </r>
    <r>
      <rPr>
        <sz val="12"/>
        <color theme="1"/>
        <rFont val="Adobe 仿宋 Std R"/>
        <family val="1"/>
        <charset val="134"/>
      </rPr>
      <t>胰腺癌</t>
    </r>
    <r>
      <rPr>
        <sz val="12"/>
        <color theme="1"/>
        <rFont val="Calibri Light"/>
        <family val="2"/>
      </rPr>
      <t>_PAAD</t>
    </r>
  </si>
  <si>
    <r>
      <t>Prostate_Adenocarcinoma_</t>
    </r>
    <r>
      <rPr>
        <sz val="12"/>
        <color theme="1"/>
        <rFont val="Adobe 仿宋 Std R"/>
        <family val="1"/>
        <charset val="134"/>
      </rPr>
      <t>前列腺癌</t>
    </r>
    <r>
      <rPr>
        <sz val="12"/>
        <color theme="1"/>
        <rFont val="Calibri Light"/>
        <family val="2"/>
      </rPr>
      <t>_PRAD</t>
    </r>
  </si>
  <si>
    <r>
      <t>Rectum_Adenocarcinoma_</t>
    </r>
    <r>
      <rPr>
        <sz val="12"/>
        <color theme="1"/>
        <rFont val="Adobe 仿宋 Std R"/>
        <family val="1"/>
        <charset val="134"/>
      </rPr>
      <t>直肠腺癌</t>
    </r>
    <r>
      <rPr>
        <sz val="12"/>
        <color theme="1"/>
        <rFont val="Calibri Light"/>
        <family val="2"/>
      </rPr>
      <t>_READ</t>
    </r>
  </si>
  <si>
    <r>
      <t>Sarcoma_</t>
    </r>
    <r>
      <rPr>
        <sz val="12"/>
        <color theme="1"/>
        <rFont val="Adobe 仿宋 Std R"/>
        <family val="1"/>
        <charset val="134"/>
      </rPr>
      <t>肉瘤</t>
    </r>
    <r>
      <rPr>
        <sz val="12"/>
        <color theme="1"/>
        <rFont val="Calibri Light"/>
        <family val="2"/>
      </rPr>
      <t>_SARC</t>
    </r>
  </si>
  <si>
    <r>
      <t>Skin_Squamous_cell_carcinoma_</t>
    </r>
    <r>
      <rPr>
        <sz val="12"/>
        <color theme="1"/>
        <rFont val="Adobe 仿宋 Std R"/>
        <family val="1"/>
        <charset val="134"/>
      </rPr>
      <t>皮肤鳞状细胞癌</t>
    </r>
    <r>
      <rPr>
        <sz val="12"/>
        <color theme="1"/>
        <rFont val="Calibri Light"/>
        <family val="2"/>
      </rPr>
      <t>_SSCC</t>
    </r>
    <rPh sb="0" eb="2">
      <t>pi fu</t>
    </rPh>
    <phoneticPr fontId="1" type="noConversion"/>
  </si>
  <si>
    <r>
      <t>Skin_Basal_cell_carcinoma_</t>
    </r>
    <r>
      <rPr>
        <sz val="12"/>
        <color theme="1"/>
        <rFont val="Adobe 仿宋 Std R"/>
        <family val="1"/>
        <charset val="134"/>
      </rPr>
      <t>皮肤基底细胞癌</t>
    </r>
    <r>
      <rPr>
        <sz val="12"/>
        <color theme="1"/>
        <rFont val="Calibri Light"/>
        <family val="2"/>
      </rPr>
      <t>_SBCC</t>
    </r>
    <rPh sb="0" eb="2">
      <t>pi fu</t>
    </rPh>
    <phoneticPr fontId="1" type="noConversion"/>
  </si>
  <si>
    <r>
      <t>Small_Cell_Lung_Cancer_</t>
    </r>
    <r>
      <rPr>
        <sz val="12"/>
        <color theme="1"/>
        <rFont val="Adobe 仿宋 Std R"/>
        <family val="1"/>
        <charset val="134"/>
      </rPr>
      <t>小细胞肺癌</t>
    </r>
    <r>
      <rPr>
        <sz val="12"/>
        <color theme="1"/>
        <rFont val="Calibri Light"/>
        <family val="2"/>
      </rPr>
      <t>_SCLC</t>
    </r>
  </si>
  <si>
    <r>
      <t>Stomach_Adenocarcinoma_</t>
    </r>
    <r>
      <rPr>
        <sz val="12"/>
        <color theme="1"/>
        <rFont val="Adobe 仿宋 Std R"/>
        <family val="1"/>
        <charset val="134"/>
      </rPr>
      <t>胃腺癌</t>
    </r>
    <r>
      <rPr>
        <sz val="12"/>
        <color theme="1"/>
        <rFont val="Calibri Light"/>
        <family val="2"/>
      </rPr>
      <t>_STAD</t>
    </r>
  </si>
  <si>
    <r>
      <t>Testicular_Germ_Cell_Tumors_</t>
    </r>
    <r>
      <rPr>
        <sz val="12"/>
        <color theme="1"/>
        <rFont val="Adobe 仿宋 Std R"/>
        <family val="1"/>
        <charset val="134"/>
      </rPr>
      <t>睾丸生殖细胞瘤</t>
    </r>
    <r>
      <rPr>
        <sz val="12"/>
        <color theme="1"/>
        <rFont val="Calibri Light"/>
        <family val="2"/>
      </rPr>
      <t>_TGCT</t>
    </r>
  </si>
  <si>
    <r>
      <t>Thymoma_</t>
    </r>
    <r>
      <rPr>
        <sz val="12"/>
        <color theme="1"/>
        <rFont val="Adobe 仿宋 Std R"/>
        <family val="1"/>
        <charset val="134"/>
      </rPr>
      <t>胸腺瘤</t>
    </r>
    <r>
      <rPr>
        <sz val="12"/>
        <color theme="1"/>
        <rFont val="Calibri Light"/>
        <family val="2"/>
      </rPr>
      <t>_THYM</t>
    </r>
  </si>
  <si>
    <r>
      <t>Thyroid_Carcinoma_</t>
    </r>
    <r>
      <rPr>
        <sz val="12"/>
        <color theme="1"/>
        <rFont val="Adobe 仿宋 Std R"/>
        <family val="1"/>
        <charset val="134"/>
      </rPr>
      <t>甲状腺癌</t>
    </r>
    <r>
      <rPr>
        <sz val="12"/>
        <color theme="1"/>
        <rFont val="Calibri Light"/>
        <family val="2"/>
      </rPr>
      <t>_THCA</t>
    </r>
  </si>
  <si>
    <r>
      <t>Uterine_Carcinosarcoma_</t>
    </r>
    <r>
      <rPr>
        <sz val="12"/>
        <color theme="1"/>
        <rFont val="Adobe 仿宋 Std R"/>
        <family val="1"/>
        <charset val="134"/>
      </rPr>
      <t>子宫癌肉瘤</t>
    </r>
    <r>
      <rPr>
        <sz val="12"/>
        <color theme="1"/>
        <rFont val="Calibri Light"/>
        <family val="2"/>
      </rPr>
      <t>_UCS</t>
    </r>
  </si>
  <si>
    <r>
      <t>Uterine_Corpus_Endometrial_Carcinoma_</t>
    </r>
    <r>
      <rPr>
        <sz val="12"/>
        <color theme="1"/>
        <rFont val="Adobe 仿宋 Std R"/>
        <family val="1"/>
        <charset val="134"/>
      </rPr>
      <t>子宫内膜癌</t>
    </r>
    <r>
      <rPr>
        <sz val="12"/>
        <color theme="1"/>
        <rFont val="Calibri Light"/>
        <family val="2"/>
      </rPr>
      <t>_UCEC</t>
    </r>
    <rPh sb="0" eb="2">
      <t>zi gong</t>
    </rPh>
    <phoneticPr fontId="1" type="noConversion"/>
  </si>
  <si>
    <r>
      <t>Uveal_Melanoma_</t>
    </r>
    <r>
      <rPr>
        <sz val="12"/>
        <color theme="1"/>
        <rFont val="Adobe 仿宋 Std R"/>
        <family val="1"/>
        <charset val="134"/>
      </rPr>
      <t>葡萄膜黑色素瘤</t>
    </r>
    <r>
      <rPr>
        <sz val="12"/>
        <color theme="1"/>
        <rFont val="Calibri Light"/>
        <family val="2"/>
      </rPr>
      <t>_UVM</t>
    </r>
    <rPh sb="0" eb="3">
      <t>pu tao mo</t>
    </rPh>
    <phoneticPr fontId="1" type="noConversion"/>
  </si>
  <si>
    <r>
      <t xml:space="preserve">2.4 </t>
    </r>
    <r>
      <rPr>
        <sz val="12"/>
        <color theme="1"/>
        <rFont val="Adobe 仿宋 Std R"/>
        <family val="1"/>
        <charset val="134"/>
      </rPr>
      <t>基因名称及</t>
    </r>
    <r>
      <rPr>
        <sz val="12"/>
        <color theme="1"/>
        <rFont val="Calibri Light"/>
        <family val="2"/>
      </rPr>
      <t>ID</t>
    </r>
    <rPh sb="0" eb="2">
      <t>ji yin</t>
    </rPh>
    <phoneticPr fontId="1" type="noConversion"/>
  </si>
  <si>
    <t>Time_Save</t>
    <phoneticPr fontId="1" type="noConversion"/>
  </si>
  <si>
    <r>
      <rPr>
        <sz val="12"/>
        <color theme="1"/>
        <rFont val="Adobe 仿宋 Std R"/>
        <family val="1"/>
        <charset val="134"/>
      </rPr>
      <t>问卷</t>
    </r>
    <r>
      <rPr>
        <sz val="12"/>
        <color theme="1"/>
        <rFont val="Calibri Light"/>
        <family val="2"/>
      </rPr>
      <t>5 (Record5)</t>
    </r>
    <phoneticPr fontId="1" type="noConversion"/>
  </si>
  <si>
    <r>
      <rPr>
        <sz val="12"/>
        <color theme="1"/>
        <rFont val="Adobe 仿宋 Std R"/>
        <family val="1"/>
        <charset val="134"/>
      </rPr>
      <t>问卷</t>
    </r>
    <r>
      <rPr>
        <sz val="12"/>
        <color theme="1"/>
        <rFont val="Calibri Light"/>
        <family val="2"/>
      </rPr>
      <t>6 (Record6)</t>
    </r>
    <phoneticPr fontId="1" type="noConversion"/>
  </si>
  <si>
    <r>
      <rPr>
        <sz val="12"/>
        <color theme="1"/>
        <rFont val="Adobe 仿宋 Std R"/>
        <family val="1"/>
        <charset val="134"/>
      </rPr>
      <t>问卷</t>
    </r>
    <r>
      <rPr>
        <sz val="12"/>
        <color theme="1"/>
        <rFont val="Calibri Light"/>
        <family val="2"/>
      </rPr>
      <t>7 (Record7)</t>
    </r>
    <phoneticPr fontId="1" type="noConversion"/>
  </si>
  <si>
    <r>
      <rPr>
        <sz val="12"/>
        <color theme="1"/>
        <rFont val="Adobe 仿宋 Std R"/>
        <family val="1"/>
        <charset val="134"/>
      </rPr>
      <t>问卷</t>
    </r>
    <r>
      <rPr>
        <sz val="12"/>
        <color theme="1"/>
        <rFont val="Calibri Light"/>
        <family val="2"/>
      </rPr>
      <t>9 (Record9)</t>
    </r>
    <phoneticPr fontId="1" type="noConversion"/>
  </si>
  <si>
    <r>
      <rPr>
        <sz val="12"/>
        <color theme="1"/>
        <rFont val="Adobe 仿宋 Std R"/>
        <family val="1"/>
        <charset val="134"/>
      </rPr>
      <t>问卷</t>
    </r>
    <r>
      <rPr>
        <sz val="12"/>
        <color theme="1"/>
        <rFont val="Calibri Light"/>
        <family val="2"/>
      </rPr>
      <t>1 (Record1)</t>
    </r>
    <phoneticPr fontId="1" type="noConversion"/>
  </si>
  <si>
    <r>
      <rPr>
        <sz val="12"/>
        <color theme="1"/>
        <rFont val="Adobe 仿宋 Std R"/>
        <family val="1"/>
        <charset val="134"/>
      </rPr>
      <t>问卷</t>
    </r>
    <r>
      <rPr>
        <sz val="12"/>
        <color theme="1"/>
        <rFont val="Calibri Light"/>
        <family val="2"/>
      </rPr>
      <t>2 (Record2)</t>
    </r>
    <phoneticPr fontId="1" type="noConversion"/>
  </si>
  <si>
    <r>
      <rPr>
        <sz val="12"/>
        <color theme="1"/>
        <rFont val="Adobe 仿宋 Std R"/>
        <family val="1"/>
        <charset val="134"/>
      </rPr>
      <t>问卷</t>
    </r>
    <r>
      <rPr>
        <sz val="12"/>
        <color theme="1"/>
        <rFont val="Calibri Light"/>
        <family val="2"/>
      </rPr>
      <t>3 (Record3)</t>
    </r>
    <phoneticPr fontId="1" type="noConversion"/>
  </si>
  <si>
    <r>
      <rPr>
        <sz val="12"/>
        <color theme="1"/>
        <rFont val="Adobe 仿宋 Std R"/>
        <family val="1"/>
        <charset val="134"/>
      </rPr>
      <t>问卷</t>
    </r>
    <r>
      <rPr>
        <sz val="12"/>
        <color theme="1"/>
        <rFont val="Calibri Light"/>
        <family val="2"/>
      </rPr>
      <t>4 (Record4)</t>
    </r>
    <phoneticPr fontId="1" type="noConversion"/>
  </si>
  <si>
    <r>
      <rPr>
        <sz val="12"/>
        <color theme="1"/>
        <rFont val="Adobe 仿宋 Std R"/>
        <family val="1"/>
        <charset val="134"/>
      </rPr>
      <t>问卷</t>
    </r>
    <r>
      <rPr>
        <sz val="12"/>
        <color theme="1"/>
        <rFont val="Calibri Light"/>
        <family val="2"/>
      </rPr>
      <t>8 (Record8)</t>
    </r>
    <phoneticPr fontId="1" type="noConversion"/>
  </si>
  <si>
    <r>
      <t>Adrenocortical_Carcinoma_</t>
    </r>
    <r>
      <rPr>
        <sz val="12"/>
        <color theme="1"/>
        <rFont val="Adobe 仿宋 Std R"/>
        <family val="1"/>
        <charset val="134"/>
      </rPr>
      <t>肾上腺皮质癌</t>
    </r>
    <r>
      <rPr>
        <sz val="12"/>
        <color theme="1"/>
        <rFont val="Calibri Light"/>
        <family val="2"/>
      </rPr>
      <t>_ACC</t>
    </r>
    <phoneticPr fontId="1" type="noConversion"/>
  </si>
  <si>
    <r>
      <t>Bladder_Cancer_</t>
    </r>
    <r>
      <rPr>
        <sz val="12"/>
        <color theme="1"/>
        <rFont val="Adobe 仿宋 Std R"/>
        <family val="1"/>
        <charset val="134"/>
      </rPr>
      <t>膀胱癌</t>
    </r>
    <phoneticPr fontId="1" type="noConversion"/>
  </si>
  <si>
    <t>Others</t>
    <phoneticPr fontId="1" type="noConversion"/>
  </si>
  <si>
    <t>RecordID</t>
  </si>
  <si>
    <t>Title</t>
    <phoneticPr fontId="1" type="noConversion"/>
  </si>
  <si>
    <t>Tumor_Type</t>
    <phoneticPr fontId="1" type="noConversion"/>
  </si>
  <si>
    <t>Sub_Tumor_Type</t>
    <phoneticPr fontId="1" type="noConversion"/>
  </si>
  <si>
    <t>Sample_Type</t>
    <phoneticPr fontId="1" type="noConversion"/>
  </si>
  <si>
    <t>Sample_Name</t>
    <phoneticPr fontId="1" type="noConversion"/>
  </si>
  <si>
    <t>Reference_Object</t>
    <phoneticPr fontId="1" type="noConversion"/>
  </si>
  <si>
    <t>Type_of_Molecular_Biological_Change</t>
    <phoneticPr fontId="1" type="noConversion"/>
  </si>
  <si>
    <t>Result_of_Molecular_Biological_Change</t>
    <phoneticPr fontId="1" type="noConversion"/>
  </si>
  <si>
    <t>Key_Sentences</t>
    <phoneticPr fontId="1" type="noConversion"/>
  </si>
  <si>
    <t>Signature</t>
    <phoneticPr fontId="1" type="noConversion"/>
  </si>
  <si>
    <t>Time_Save</t>
    <phoneticPr fontId="1" type="noConversion"/>
  </si>
  <si>
    <t>（三）终点：结局（遗传分子差异）</t>
    <phoneticPr fontId="1" type="noConversion"/>
  </si>
  <si>
    <t>Type_of_Radiation_Source</t>
    <phoneticPr fontId="1" type="noConversion"/>
  </si>
  <si>
    <t>Radiation_Dose</t>
    <phoneticPr fontId="1" type="noConversion"/>
  </si>
  <si>
    <t>Radiation_Fractionation</t>
    <phoneticPr fontId="1" type="noConversion"/>
  </si>
  <si>
    <t>Radiation</t>
    <phoneticPr fontId="1" type="noConversion"/>
  </si>
  <si>
    <r>
      <t xml:space="preserve">2.1.1 </t>
    </r>
    <r>
      <rPr>
        <sz val="12"/>
        <color theme="1"/>
        <rFont val="Adobe 仿宋 Std R"/>
        <family val="1"/>
        <charset val="134"/>
      </rPr>
      <t>射线类型</t>
    </r>
    <phoneticPr fontId="1" type="noConversion"/>
  </si>
  <si>
    <r>
      <rPr>
        <sz val="12"/>
        <color theme="1"/>
        <rFont val="Adobe 仿宋 Std R"/>
        <family val="1"/>
        <charset val="134"/>
      </rPr>
      <t>时间</t>
    </r>
    <phoneticPr fontId="1" type="noConversion"/>
  </si>
  <si>
    <r>
      <t xml:space="preserve">2.1 </t>
    </r>
    <r>
      <rPr>
        <sz val="12"/>
        <color theme="1"/>
        <rFont val="Adobe 仿宋 Std R"/>
        <family val="1"/>
        <charset val="134"/>
      </rPr>
      <t>辐射</t>
    </r>
    <phoneticPr fontId="1" type="noConversion"/>
  </si>
  <si>
    <r>
      <t xml:space="preserve">2.1.2 </t>
    </r>
    <r>
      <rPr>
        <sz val="12"/>
        <color theme="1"/>
        <rFont val="Adobe 仿宋 Std R"/>
        <family val="1"/>
        <charset val="134"/>
      </rPr>
      <t>辐射剂量</t>
    </r>
    <phoneticPr fontId="1" type="noConversion"/>
  </si>
  <si>
    <r>
      <t xml:space="preserve">2.1.3 </t>
    </r>
    <r>
      <rPr>
        <sz val="12"/>
        <color theme="1"/>
        <rFont val="Adobe 仿宋 Std R"/>
        <family val="1"/>
        <charset val="134"/>
      </rPr>
      <t>分割模式</t>
    </r>
    <phoneticPr fontId="1" type="noConversion"/>
  </si>
  <si>
    <t>Molecular_Biological_Intervention</t>
    <phoneticPr fontId="1" type="noConversion"/>
  </si>
  <si>
    <t>Type_of_Molecular_Biological_Intervention_Target</t>
    <phoneticPr fontId="1" type="noConversion"/>
  </si>
  <si>
    <t>Name_of_Targeted_Molecule</t>
    <phoneticPr fontId="1" type="noConversion"/>
  </si>
  <si>
    <t>Targeted_GeneID</t>
    <phoneticPr fontId="1" type="noConversion"/>
  </si>
  <si>
    <t>Changed_GeneID</t>
    <phoneticPr fontId="1" type="noConversion"/>
  </si>
  <si>
    <t>Exposure_Factor</t>
    <phoneticPr fontId="1" type="noConversion"/>
  </si>
  <si>
    <t>Type_of_Exposure_Factor</t>
    <phoneticPr fontId="1" type="noConversion"/>
  </si>
  <si>
    <t>Name_of_Exposure_Factor</t>
    <phoneticPr fontId="1" type="noConversion"/>
  </si>
  <si>
    <r>
      <t xml:space="preserve">3.1 </t>
    </r>
    <r>
      <rPr>
        <sz val="12"/>
        <color theme="1"/>
        <rFont val="Adobe 仿宋 Std R"/>
        <family val="1"/>
        <charset val="134"/>
      </rPr>
      <t>参照对象</t>
    </r>
    <rPh sb="0" eb="2">
      <t>can zhao</t>
    </rPh>
    <phoneticPr fontId="1" type="noConversion"/>
  </si>
  <si>
    <r>
      <t xml:space="preserve">3.2 </t>
    </r>
    <r>
      <rPr>
        <sz val="12"/>
        <color theme="1"/>
        <rFont val="Adobe 仿宋 Std R"/>
        <family val="1"/>
        <charset val="134"/>
      </rPr>
      <t>改变类型</t>
    </r>
    <rPh sb="0" eb="2">
      <t>fen zi</t>
    </rPh>
    <phoneticPr fontId="1" type="noConversion"/>
  </si>
  <si>
    <r>
      <t xml:space="preserve">3.4 </t>
    </r>
    <r>
      <rPr>
        <sz val="12"/>
        <color theme="1"/>
        <rFont val="Adobe 仿宋 Std R"/>
        <family val="1"/>
        <charset val="134"/>
      </rPr>
      <t>基因</t>
    </r>
    <r>
      <rPr>
        <sz val="12"/>
        <color theme="1"/>
        <rFont val="Calibri Light"/>
        <family val="2"/>
      </rPr>
      <t>ID</t>
    </r>
    <rPh sb="0" eb="2">
      <t>ji yin</t>
    </rPh>
    <phoneticPr fontId="1" type="noConversion"/>
  </si>
  <si>
    <r>
      <t xml:space="preserve">3.5 </t>
    </r>
    <r>
      <rPr>
        <sz val="12"/>
        <color theme="1"/>
        <rFont val="Adobe 仿宋 Std R"/>
        <family val="1"/>
        <charset val="134"/>
      </rPr>
      <t>改变结果</t>
    </r>
    <rPh sb="0" eb="2">
      <t>gai bian</t>
    </rPh>
    <phoneticPr fontId="1" type="noConversion"/>
  </si>
  <si>
    <r>
      <t xml:space="preserve">2.1 </t>
    </r>
    <r>
      <rPr>
        <sz val="12"/>
        <color theme="1"/>
        <rFont val="Adobe 仿宋 Std R"/>
        <family val="1"/>
        <charset val="134"/>
      </rPr>
      <t>辐射</t>
    </r>
    <rPh sb="0" eb="2">
      <t>fu she</t>
    </rPh>
    <phoneticPr fontId="1" type="noConversion"/>
  </si>
  <si>
    <t>Yes</t>
    <phoneticPr fontId="1" type="noConversion"/>
  </si>
  <si>
    <t>NA</t>
    <phoneticPr fontId="1" type="noConversion"/>
  </si>
  <si>
    <t>α ray (α particles)</t>
    <phoneticPr fontId="1" type="noConversion"/>
  </si>
  <si>
    <t>β ray (β particles)</t>
    <phoneticPr fontId="1" type="noConversion"/>
  </si>
  <si>
    <t>γ ray</t>
    <phoneticPr fontId="1" type="noConversion"/>
  </si>
  <si>
    <t>X ray (Photon)</t>
    <phoneticPr fontId="1" type="noConversion"/>
  </si>
  <si>
    <t>Electron beam</t>
    <phoneticPr fontId="1" type="noConversion"/>
  </si>
  <si>
    <t>Neutron beam</t>
    <phoneticPr fontId="1" type="noConversion"/>
  </si>
  <si>
    <t>Hypofractionation</t>
    <phoneticPr fontId="1" type="noConversion"/>
  </si>
  <si>
    <t>Hyperfractionation</t>
    <phoneticPr fontId="1" type="noConversion"/>
  </si>
  <si>
    <t>No</t>
    <phoneticPr fontId="1" type="noConversion"/>
  </si>
  <si>
    <t>others</t>
    <phoneticPr fontId="1" type="noConversion"/>
  </si>
  <si>
    <r>
      <t>Colon_Cancer_</t>
    </r>
    <r>
      <rPr>
        <sz val="12"/>
        <color theme="1"/>
        <rFont val="Adobe 仿宋 Std R"/>
        <family val="1"/>
        <charset val="134"/>
      </rPr>
      <t>结肠癌</t>
    </r>
    <phoneticPr fontId="1" type="noConversion"/>
  </si>
  <si>
    <r>
      <t>Leukemia_</t>
    </r>
    <r>
      <rPr>
        <sz val="12"/>
        <color theme="1"/>
        <rFont val="Adobe 仿宋 Std R"/>
        <family val="1"/>
        <charset val="134"/>
      </rPr>
      <t>白血病</t>
    </r>
    <phoneticPr fontId="1" type="noConversion"/>
  </si>
  <si>
    <r>
      <t>Melanoma_</t>
    </r>
    <r>
      <rPr>
        <sz val="12"/>
        <color theme="1"/>
        <rFont val="Adobe 仿宋 Std R"/>
        <family val="1"/>
        <charset val="134"/>
      </rPr>
      <t>黑色素瘤</t>
    </r>
    <phoneticPr fontId="1" type="noConversion"/>
  </si>
  <si>
    <r>
      <t>Ovarian_Cancer_</t>
    </r>
    <r>
      <rPr>
        <sz val="12"/>
        <color theme="1"/>
        <rFont val="Adobe 仿宋 Std R"/>
        <family val="1"/>
        <charset val="134"/>
      </rPr>
      <t>卵巢癌</t>
    </r>
    <phoneticPr fontId="1" type="noConversion"/>
  </si>
  <si>
    <r>
      <t xml:space="preserve">2.1.1 </t>
    </r>
    <r>
      <rPr>
        <sz val="12"/>
        <color theme="1"/>
        <rFont val="Adobe 仿宋 Std R"/>
        <family val="1"/>
        <charset val="134"/>
      </rPr>
      <t>射线类型</t>
    </r>
    <phoneticPr fontId="1" type="noConversion"/>
  </si>
  <si>
    <r>
      <t xml:space="preserve">2.2 </t>
    </r>
    <r>
      <rPr>
        <sz val="12"/>
        <color theme="1"/>
        <rFont val="Adobe 仿宋 Std R"/>
        <family val="1"/>
        <charset val="134"/>
      </rPr>
      <t>改变类型</t>
    </r>
    <phoneticPr fontId="1" type="noConversion"/>
  </si>
  <si>
    <r>
      <t xml:space="preserve">2.5 </t>
    </r>
    <r>
      <rPr>
        <sz val="12"/>
        <color theme="1"/>
        <rFont val="Adobe 仿宋 Std R"/>
        <family val="1"/>
        <charset val="134"/>
      </rPr>
      <t>改变结果</t>
    </r>
    <phoneticPr fontId="1" type="noConversion"/>
  </si>
  <si>
    <r>
      <t xml:space="preserve">2.1.3 </t>
    </r>
    <r>
      <rPr>
        <sz val="12"/>
        <color theme="1"/>
        <rFont val="Adobe 仿宋 Std R"/>
        <family val="1"/>
        <charset val="134"/>
      </rPr>
      <t>分割模式</t>
    </r>
    <phoneticPr fontId="1" type="noConversion"/>
  </si>
  <si>
    <r>
      <t xml:space="preserve">2.2 </t>
    </r>
    <r>
      <rPr>
        <sz val="12"/>
        <color theme="1"/>
        <rFont val="Adobe 仿宋 Std R"/>
        <family val="1"/>
        <charset val="134"/>
      </rPr>
      <t>是否同时存在分子生物学干预或暴露因素</t>
    </r>
    <phoneticPr fontId="1" type="noConversion"/>
  </si>
  <si>
    <r>
      <t xml:space="preserve">2.3.1 </t>
    </r>
    <r>
      <rPr>
        <sz val="12"/>
        <color theme="1"/>
        <rFont val="Adobe 仿宋 Std R"/>
        <family val="1"/>
        <charset val="134"/>
      </rPr>
      <t>暴露因素的类型</t>
    </r>
    <phoneticPr fontId="1" type="noConversion"/>
  </si>
  <si>
    <r>
      <t>Brain_Lower_Grade_Glioma_</t>
    </r>
    <r>
      <rPr>
        <sz val="12"/>
        <color theme="1"/>
        <rFont val="Adobe 仿宋 Std R"/>
        <family val="1"/>
        <charset val="134"/>
      </rPr>
      <t>脑低级别神经胶质瘤</t>
    </r>
    <r>
      <rPr>
        <sz val="12"/>
        <color theme="1"/>
        <rFont val="Calibri Light"/>
        <family val="2"/>
      </rPr>
      <t>_LGG</t>
    </r>
    <phoneticPr fontId="1" type="noConversion"/>
  </si>
  <si>
    <r>
      <t>Breast_Invasive_Carcinoma_</t>
    </r>
    <r>
      <rPr>
        <sz val="12"/>
        <color theme="1"/>
        <rFont val="Adobe 仿宋 Std R"/>
        <family val="1"/>
        <charset val="134"/>
      </rPr>
      <t>乳腺癌</t>
    </r>
    <r>
      <rPr>
        <sz val="12"/>
        <color theme="1"/>
        <rFont val="Calibri Light"/>
        <family val="2"/>
      </rPr>
      <t>_BRCA</t>
    </r>
    <phoneticPr fontId="1" type="noConversion"/>
  </si>
  <si>
    <r>
      <t>Cholangiocarcinoma_</t>
    </r>
    <r>
      <rPr>
        <sz val="12"/>
        <color theme="1"/>
        <rFont val="Adobe 仿宋 Std R"/>
        <family val="1"/>
        <charset val="134"/>
      </rPr>
      <t>胆管细胞癌</t>
    </r>
    <r>
      <rPr>
        <sz val="12"/>
        <color theme="1"/>
        <rFont val="Calibri Light"/>
        <family val="2"/>
      </rPr>
      <t>_CHOL</t>
    </r>
    <phoneticPr fontId="1" type="noConversion"/>
  </si>
  <si>
    <r>
      <t>Head_and_Neck_Cancer_Non_Nasopharyngeal_Carcinoma_</t>
    </r>
    <r>
      <rPr>
        <sz val="12"/>
        <color theme="1"/>
        <rFont val="Adobe 仿宋 Std R"/>
        <family val="1"/>
        <charset val="134"/>
      </rPr>
      <t>头颈部癌</t>
    </r>
    <r>
      <rPr>
        <sz val="12"/>
        <color theme="1"/>
        <rFont val="Calibri Light"/>
        <family val="2"/>
      </rPr>
      <t>_</t>
    </r>
    <r>
      <rPr>
        <sz val="12"/>
        <color theme="1"/>
        <rFont val="Adobe 仿宋 Std R"/>
        <family val="1"/>
        <charset val="134"/>
      </rPr>
      <t>非鼻咽癌</t>
    </r>
    <r>
      <rPr>
        <sz val="12"/>
        <color theme="1"/>
        <rFont val="Calibri Light"/>
        <family val="2"/>
      </rPr>
      <t>_HNC</t>
    </r>
    <phoneticPr fontId="1" type="noConversion"/>
  </si>
  <si>
    <r>
      <t>Liver_Hepatocellular_Carcinoma_</t>
    </r>
    <r>
      <rPr>
        <sz val="12"/>
        <color theme="1"/>
        <rFont val="Adobe 仿宋 Std R"/>
        <family val="1"/>
        <charset val="134"/>
      </rPr>
      <t>肝细胞肝癌</t>
    </r>
    <r>
      <rPr>
        <sz val="12"/>
        <color theme="1"/>
        <rFont val="Calibri Light"/>
        <family val="2"/>
      </rPr>
      <t>_LIHC</t>
    </r>
    <phoneticPr fontId="1" type="noConversion"/>
  </si>
  <si>
    <r>
      <t>Mesothelioma_</t>
    </r>
    <r>
      <rPr>
        <sz val="12"/>
        <color theme="1"/>
        <rFont val="Adobe 仿宋 Std R"/>
        <family val="1"/>
        <charset val="134"/>
      </rPr>
      <t>间皮瘤</t>
    </r>
    <r>
      <rPr>
        <sz val="12"/>
        <color theme="1"/>
        <rFont val="Calibri Light"/>
        <family val="2"/>
      </rPr>
      <t>_MESO</t>
    </r>
    <phoneticPr fontId="1" type="noConversion"/>
  </si>
  <si>
    <r>
      <t>Nasopharyngeal_Squamous_Cell_Carcinoma_</t>
    </r>
    <r>
      <rPr>
        <sz val="12"/>
        <color theme="1"/>
        <rFont val="Adobe 仿宋 Std R"/>
        <family val="1"/>
        <charset val="134"/>
      </rPr>
      <t>鼻咽鳞状细胞癌</t>
    </r>
    <r>
      <rPr>
        <sz val="12"/>
        <color theme="1"/>
        <rFont val="Calibri Light"/>
        <family val="2"/>
      </rPr>
      <t>_NSCC</t>
    </r>
    <phoneticPr fontId="1" type="noConversion"/>
  </si>
  <si>
    <r>
      <t>Pheochromocytoma_and_Paraganglioma_</t>
    </r>
    <r>
      <rPr>
        <sz val="12"/>
        <color theme="1"/>
        <rFont val="Adobe 仿宋 Std R"/>
        <family val="1"/>
        <charset val="134"/>
      </rPr>
      <t>嗜铬细胞瘤与副神经节瘤</t>
    </r>
    <r>
      <rPr>
        <sz val="12"/>
        <color theme="1"/>
        <rFont val="Calibri Light"/>
        <family val="2"/>
      </rPr>
      <t>_PCPG</t>
    </r>
    <phoneticPr fontId="1" type="noConversion"/>
  </si>
  <si>
    <r>
      <t>others[</t>
    </r>
    <r>
      <rPr>
        <sz val="12"/>
        <color theme="1"/>
        <rFont val="Adobe 仿宋 Std R"/>
        <family val="1"/>
        <charset val="134"/>
      </rPr>
      <t>选填</t>
    </r>
    <r>
      <rPr>
        <sz val="12"/>
        <color theme="1"/>
        <rFont val="Calibri Light"/>
        <family val="2"/>
      </rPr>
      <t>]</t>
    </r>
    <phoneticPr fontId="1" type="noConversion"/>
  </si>
  <si>
    <r>
      <t>[</t>
    </r>
    <r>
      <rPr>
        <sz val="12"/>
        <color theme="1"/>
        <rFont val="Adobe 仿宋 Std R"/>
        <family val="1"/>
        <charset val="134"/>
      </rPr>
      <t>选填</t>
    </r>
    <r>
      <rPr>
        <sz val="12"/>
        <color theme="1"/>
        <rFont val="Calibri Light"/>
        <family val="2"/>
      </rPr>
      <t>]</t>
    </r>
    <phoneticPr fontId="1" type="noConversion"/>
  </si>
  <si>
    <r>
      <t xml:space="preserve">2.2 </t>
    </r>
    <r>
      <rPr>
        <sz val="12"/>
        <color theme="1"/>
        <rFont val="Adobe 仿宋 Std R"/>
        <family val="1"/>
        <charset val="134"/>
      </rPr>
      <t>是否同时存在分子生物学干预</t>
    </r>
    <phoneticPr fontId="1" type="noConversion"/>
  </si>
  <si>
    <r>
      <t xml:space="preserve">2.2.1 </t>
    </r>
    <r>
      <rPr>
        <sz val="12"/>
        <color theme="1"/>
        <rFont val="Adobe 仿宋 Std R"/>
        <family val="1"/>
        <charset val="134"/>
      </rPr>
      <t>分子生物学干预靶点类型</t>
    </r>
    <phoneticPr fontId="1" type="noConversion"/>
  </si>
  <si>
    <r>
      <t xml:space="preserve">2.2.2 </t>
    </r>
    <r>
      <rPr>
        <sz val="12"/>
        <color theme="1"/>
        <rFont val="Adobe 仿宋 Std R"/>
        <family val="1"/>
        <charset val="134"/>
      </rPr>
      <t>被干预分子名称</t>
    </r>
    <phoneticPr fontId="1" type="noConversion"/>
  </si>
  <si>
    <r>
      <t xml:space="preserve">2.2.3 </t>
    </r>
    <r>
      <rPr>
        <sz val="12"/>
        <color theme="1"/>
        <rFont val="Adobe 仿宋 Std R"/>
        <family val="1"/>
        <charset val="134"/>
      </rPr>
      <t>靶点基因</t>
    </r>
    <r>
      <rPr>
        <sz val="12"/>
        <color theme="1"/>
        <rFont val="Calibri Light"/>
        <family val="2"/>
      </rPr>
      <t>ID</t>
    </r>
    <phoneticPr fontId="1" type="noConversion"/>
  </si>
  <si>
    <r>
      <t xml:space="preserve">2.3 </t>
    </r>
    <r>
      <rPr>
        <sz val="12"/>
        <color theme="1"/>
        <rFont val="Adobe 仿宋 Std R"/>
        <family val="1"/>
        <charset val="134"/>
      </rPr>
      <t>是否同时存在暴露</t>
    </r>
    <phoneticPr fontId="1" type="noConversion"/>
  </si>
  <si>
    <r>
      <t xml:space="preserve">2.3.2 </t>
    </r>
    <r>
      <rPr>
        <sz val="12"/>
        <color theme="1"/>
        <rFont val="Adobe 仿宋 Std R"/>
        <family val="1"/>
        <charset val="134"/>
      </rPr>
      <t>暴露因素的名称</t>
    </r>
    <phoneticPr fontId="1" type="noConversion"/>
  </si>
  <si>
    <r>
      <rPr>
        <sz val="12"/>
        <color theme="1"/>
        <rFont val="Adobe 仿宋 Std R"/>
        <family val="1"/>
        <charset val="134"/>
      </rPr>
      <t>记录的编号</t>
    </r>
    <phoneticPr fontId="1" type="noConversion"/>
  </si>
  <si>
    <r>
      <t xml:space="preserve">2.3.1 </t>
    </r>
    <r>
      <rPr>
        <sz val="12"/>
        <color theme="1"/>
        <rFont val="Adobe 仿宋 Std R"/>
        <family val="1"/>
        <charset val="134"/>
      </rPr>
      <t>暴露因素的类型</t>
    </r>
    <phoneticPr fontId="1" type="noConversion"/>
  </si>
  <si>
    <t>（二）过程：干预（暴露）</t>
    <phoneticPr fontId="1" type="noConversion"/>
  </si>
  <si>
    <t>NA</t>
    <phoneticPr fontId="1" type="noConversion"/>
  </si>
  <si>
    <t>Proton beam</t>
    <phoneticPr fontId="1" type="noConversion"/>
  </si>
  <si>
    <t>Heavy ion beam</t>
    <phoneticPr fontId="1" type="noConversion"/>
  </si>
  <si>
    <r>
      <t>Radioisotope[</t>
    </r>
    <r>
      <rPr>
        <sz val="12"/>
        <color theme="1"/>
        <rFont val="Adobe 仿宋 Std R"/>
        <family val="1"/>
        <charset val="134"/>
      </rPr>
      <t>选填</t>
    </r>
    <r>
      <rPr>
        <sz val="12"/>
        <color theme="1"/>
        <rFont val="Calibri Light"/>
        <family val="2"/>
      </rPr>
      <t>]</t>
    </r>
    <phoneticPr fontId="1" type="noConversion"/>
  </si>
  <si>
    <t>Single dose</t>
    <phoneticPr fontId="1" type="noConversion"/>
  </si>
  <si>
    <t>Conventional fractionation</t>
    <phoneticPr fontId="1" type="noConversion"/>
  </si>
  <si>
    <t>Accelerated fractionation</t>
    <phoneticPr fontId="1" type="noConversion"/>
  </si>
  <si>
    <t>Accelerated hyperfractionation</t>
    <phoneticPr fontId="1" type="noConversion"/>
  </si>
  <si>
    <r>
      <t>others[</t>
    </r>
    <r>
      <rPr>
        <sz val="12"/>
        <color theme="1"/>
        <rFont val="Adobe 仿宋 Std R"/>
        <family val="1"/>
        <charset val="134"/>
      </rPr>
      <t>选填</t>
    </r>
    <r>
      <rPr>
        <sz val="12"/>
        <color theme="1"/>
        <rFont val="Calibri Light"/>
        <family val="2"/>
      </rPr>
      <t>]</t>
    </r>
    <phoneticPr fontId="1" type="noConversion"/>
  </si>
  <si>
    <r>
      <t xml:space="preserve">2.2.4 </t>
    </r>
    <r>
      <rPr>
        <sz val="12"/>
        <color theme="1"/>
        <rFont val="Adobe 仿宋 Std R"/>
        <family val="1"/>
        <charset val="134"/>
      </rPr>
      <t>干预措施</t>
    </r>
    <phoneticPr fontId="1" type="noConversion"/>
  </si>
  <si>
    <t>Intervention_Method</t>
    <phoneticPr fontId="1" type="noConversion"/>
  </si>
  <si>
    <t>Intervention_Method</t>
    <phoneticPr fontId="1" type="noConversion"/>
  </si>
  <si>
    <t>Key_Sentences</t>
    <phoneticPr fontId="1" type="noConversion"/>
  </si>
  <si>
    <t>biological_exposure</t>
    <phoneticPr fontId="1" type="noConversion"/>
  </si>
  <si>
    <t>chemical_exposure</t>
    <phoneticPr fontId="1" type="noConversion"/>
  </si>
  <si>
    <t>physical_exposure</t>
    <phoneticPr fontId="1" type="noConversion"/>
  </si>
  <si>
    <r>
      <t xml:space="preserve">3.3 </t>
    </r>
    <r>
      <rPr>
        <sz val="12"/>
        <color theme="1"/>
        <rFont val="Adobe 仿宋 Std R"/>
        <family val="1"/>
        <charset val="134"/>
      </rPr>
      <t>所改变分子的名称</t>
    </r>
    <rPh sb="0" eb="1">
      <t>suo</t>
    </rPh>
    <phoneticPr fontId="1" type="noConversion"/>
  </si>
  <si>
    <t>NA</t>
  </si>
  <si>
    <t>No</t>
  </si>
  <si>
    <t>cell_line</t>
  </si>
  <si>
    <t>Yes</t>
  </si>
  <si>
    <t>X ray (Photon)</t>
  </si>
  <si>
    <t>Single dose</t>
  </si>
  <si>
    <t>[6 Gy]</t>
  </si>
  <si>
    <t xml:space="preserve">We noticed that IR treatment alone increased the expressions of TG2 and p53 in both cell lines. </t>
  </si>
  <si>
    <t>柴晶晶</t>
  </si>
  <si>
    <t>Transglutaminase 2 Inhibitor KCC009 Induces p53-Independent Radiosensitization in Lung Adenocarcinoma Cells.</t>
  </si>
  <si>
    <t>28002389</t>
  </si>
  <si>
    <t>Non_Small_Cell_Lung_Cancer_非小细胞肺癌_NSCLC</t>
  </si>
  <si>
    <t>Lung_Adenocarcinoma_肺腺癌_LUAD</t>
  </si>
  <si>
    <t xml:space="preserve">H1299/M175H-p53 </t>
  </si>
  <si>
    <t xml:space="preserve">IR(0 Gy) </t>
  </si>
  <si>
    <t>gene_expression</t>
  </si>
  <si>
    <t>up</t>
  </si>
  <si>
    <t>transglutaminase 2 (TG2)</t>
  </si>
  <si>
    <t>7052</t>
  </si>
  <si>
    <t xml:space="preserve">H1299/WT-p53 </t>
  </si>
  <si>
    <t>protein_level</t>
  </si>
  <si>
    <t>p53</t>
  </si>
  <si>
    <t>7157</t>
  </si>
  <si>
    <t>However, pretreatment with 3.91 Um KCC009 for 24 hours signifcantly inhibited IR-induced increase of TG2.</t>
  </si>
  <si>
    <t xml:space="preserve">IR(6 Gy) </t>
  </si>
  <si>
    <t>chemical_exposure</t>
  </si>
  <si>
    <t>TG2 inhibitor KCC009</t>
  </si>
  <si>
    <t>down</t>
  </si>
  <si>
    <t>KCC009 pretreatment also increased the p53 expression slightly in the H1299/WT-p53 cells but not in the H1299/M175H-p53 cells (Figure 5).</t>
  </si>
  <si>
    <t>no change</t>
  </si>
  <si>
    <t>The result showed that pretreatment of KCC009 (3.91 Um for 24 hours) increased the expression of p21, Bax, p-caspase-3; and decreased expressions of Bcl-2, and CyclinD in irradiated (6 Gy) H1299/WT-p53cells, and increased the expression of p-caspase-3; and decreased CyclinB and Bcl-2 expressions in irradiated H1299/M175H-p53 cells (Figure 6).</t>
  </si>
  <si>
    <t>p21</t>
  </si>
  <si>
    <t>Bax</t>
  </si>
  <si>
    <t>p-caspase-3</t>
  </si>
  <si>
    <t xml:space="preserve"> Bcl-2</t>
  </si>
  <si>
    <t>CyclinD</t>
  </si>
  <si>
    <t>CyclinB</t>
  </si>
  <si>
    <t>Bcl-2</t>
  </si>
  <si>
    <t xml:space="preserve">We also found that IR induced β-catenin phosphorylation at Ser675(Figure 1A and 1B). </t>
  </si>
  <si>
    <t>Breast_Invasive_Carcinoma_乳腺癌_BRCA</t>
  </si>
  <si>
    <t>[Triple-negative breast cancer]</t>
  </si>
  <si>
    <t>γ ray</t>
  </si>
  <si>
    <t>[1, 3, 6 Gy]</t>
  </si>
  <si>
    <t>NA</t>
    <phoneticPr fontId="1" type="noConversion"/>
  </si>
  <si>
    <t>p-β-catenin(S675)</t>
  </si>
  <si>
    <t>MDA-MB-231</t>
  </si>
  <si>
    <t>Niclosamide sensitizes triple-negative breast cancer cells to ionizing radiation in association with the inhibition of Wnt/β-catenin signaling.</t>
  </si>
  <si>
    <t>27363012</t>
  </si>
  <si>
    <t>MDA-MB-468</t>
  </si>
  <si>
    <t>Hs578T</t>
  </si>
  <si>
    <t>In addition, the transcript and protein levels of Wnt targets C-myc and survivin were signifcantly increased after IR in TNBC cells (Figure 1A, 1B and 1C).</t>
  </si>
  <si>
    <t>As shown in Figure 1A and 1B, IR induced Wnt3a expression, Wnt co-receptor LRP6 expression and phosphorylation, and β-catenin expression in TNBC cells.</t>
  </si>
  <si>
    <t xml:space="preserve">Wnt3a </t>
  </si>
  <si>
    <t>p-LRP6 (S1490)</t>
  </si>
  <si>
    <t>LRP6</t>
  </si>
  <si>
    <t>[3, 6 Gy]</t>
  </si>
  <si>
    <t>β-catenin</t>
  </si>
  <si>
    <t>C-myc</t>
  </si>
  <si>
    <t>4609</t>
  </si>
  <si>
    <t>survivin</t>
  </si>
  <si>
    <t>332</t>
  </si>
  <si>
    <t>Wnt3a</t>
  </si>
  <si>
    <t>89780</t>
  </si>
  <si>
    <t xml:space="preserve">MDA-MB-468 </t>
  </si>
  <si>
    <t>4040</t>
  </si>
  <si>
    <t>As shown in Supplemental Figure S1, mRNA levels of Wnt3a, LRP6 and β-catenin were not signifcantly changed after IR in MDA-MB-231, MDA-MB-468 and Hs578T cells.</t>
  </si>
  <si>
    <t>柴晶晶</t>
    <phoneticPr fontId="1" type="noConversion"/>
  </si>
  <si>
    <t xml:space="preserve">β-catenin </t>
  </si>
  <si>
    <t>56998</t>
  </si>
  <si>
    <t>Together, these results indicate that niclosamide not only inhibited constitutive Wnt/β-catenin signaling, but also blocked IR-induced Wnt/β-catenin signaling in TNBC cells.</t>
  </si>
  <si>
    <t>No</t>
    <phoneticPr fontId="1" type="noConversion"/>
  </si>
  <si>
    <t>Niclosamide</t>
  </si>
  <si>
    <t xml:space="preserve">IR(6 Gy) only </t>
  </si>
  <si>
    <t>p-β-catenin (S675)</t>
  </si>
  <si>
    <t>MDA-MB-248</t>
  </si>
  <si>
    <t xml:space="preserve">After exposure to 1 h of ionizing radiation, phospho-AKT levels were markedly elevated with_x0002_out changes in AKT protein levels in TFK-1 and HuCC-T1 cells (Fig. 2A). </t>
  </si>
  <si>
    <t>Serine/threonine kinase AKT is frequently activated in human bile duct cancer and is associated with increased radioresistance.</t>
  </si>
  <si>
    <t>15150102</t>
  </si>
  <si>
    <t>Cholangiocarcinoma_胆管细胞癌_CHOL</t>
  </si>
  <si>
    <t>TFK-1</t>
  </si>
  <si>
    <t>[2, 5 Gy]</t>
  </si>
  <si>
    <t>AKT</t>
  </si>
  <si>
    <t xml:space="preserve">HuCC-T1 </t>
  </si>
  <si>
    <t>pAKT</t>
  </si>
  <si>
    <t xml:space="preserve">TFK-1 </t>
  </si>
  <si>
    <t>Pretreatment with LY294002, a chemical inhibitor_x000D_
of PI3k, abrogated irradiation-induced AKT phosphorylation in both TFK-1 and HuCC-T1 cells, consistent with the fact that both cell lines_x000D_
have constitutively active AKT (Fig. 2B).</t>
  </si>
  <si>
    <t>IR only</t>
  </si>
  <si>
    <t>LY294002</t>
  </si>
  <si>
    <t>MnTE-2-PyP reduces prostate cancer growth and metastasis by suppressing p300 activity and p300/HIF-1/CREB binding to the promoter region of the PAI-1 gene.</t>
  </si>
  <si>
    <t>26944191</t>
  </si>
  <si>
    <t>Prostate_Adenocarcinoma_前列腺癌_PRAD</t>
  </si>
  <si>
    <t>PC3</t>
  </si>
  <si>
    <t>[5, 20 Gy]</t>
  </si>
  <si>
    <t>MnTE-2-PyP</t>
  </si>
  <si>
    <t>Decreased expression of TGF-β2, PAI-1 or FGF1 was observed in cells treated with MnTE-2-PyP with or without irradiation, compared with control cells with or without irradiation (Fig. 3B).</t>
  </si>
  <si>
    <t>TGF-β2</t>
  </si>
  <si>
    <t>7042</t>
  </si>
  <si>
    <t xml:space="preserve">PAI-1 </t>
  </si>
  <si>
    <t>5054</t>
  </si>
  <si>
    <t xml:space="preserve">FGF1 </t>
  </si>
  <si>
    <t>2246</t>
  </si>
  <si>
    <t>PC3 cells showed a 6-fold decrease (Fig. 4B) and DU-145 showed a 3-fold decrease in β1 integrin expression exposed to 25 Gy radiation (Fig. 4D).</t>
  </si>
  <si>
    <t>High dose fractionated ionizing radiation inhibits prostate cancer cell adhesion and beta(1) integrin expression.</t>
  </si>
  <si>
    <t>15651037</t>
  </si>
  <si>
    <t>[25 Gy]</t>
  </si>
  <si>
    <t>Electron beam</t>
  </si>
  <si>
    <t>Hypofractionation</t>
  </si>
  <si>
    <t>IR (0 Gy)</t>
  </si>
  <si>
    <t>IR (0 Gy)</t>
    <phoneticPr fontId="1" type="noConversion"/>
  </si>
  <si>
    <t xml:space="preserve">β1 integrin </t>
  </si>
  <si>
    <t>DU145</t>
  </si>
  <si>
    <t>β1 integrin expression levels in both prostate_x000D_
cancer cell lines showed little changes when exposed to 15 Gy (Fig. 4A,C) as shown by immunoblotting using an antibody specific for β1 integrins.</t>
  </si>
  <si>
    <t>[15 Gy]</t>
  </si>
  <si>
    <t>Others</t>
  </si>
  <si>
    <t>MEN3</t>
  </si>
  <si>
    <t>[5 Gy]</t>
  </si>
  <si>
    <t>[5 Gy]</t>
    <phoneticPr fontId="1" type="noConversion"/>
  </si>
  <si>
    <t>These results show that p21 and p53 protein levels are up-regulated in response to UV light and γ-rays in 3 primary meningioma cells.</t>
  </si>
  <si>
    <t>The p53/p21 DNA damage-signaling pathway is defective in most meningioma cells.</t>
  </si>
  <si>
    <t>The p53/p21 DNA damage-signaling pathway is defective in most meningioma cells.</t>
    <phoneticPr fontId="1" type="noConversion"/>
  </si>
  <si>
    <t>17245624</t>
  </si>
  <si>
    <t>[meningioma]</t>
  </si>
  <si>
    <t>[meningioma]</t>
    <phoneticPr fontId="1" type="noConversion"/>
  </si>
  <si>
    <t>p53</t>
    <phoneticPr fontId="1" type="noConversion"/>
  </si>
  <si>
    <t>MEN5</t>
  </si>
  <si>
    <t>MEN7</t>
  </si>
  <si>
    <t xml:space="preserve">In MEN2 cells, p53 and p21 were both up-regulated following UV light with the maximum level of induction (~5.5 fold reached after 12 h) and (5.4 fold reached after 24 h), respectively (Fig. 2, Table 1). However, following c-irradiation, the protein levels of p53 and p21 did not significantly change (Fig. 2, Table 1). </t>
  </si>
  <si>
    <t>MEN2</t>
  </si>
  <si>
    <t xml:space="preserve">Regarding MEN1, p53 was induced only in response to UV light with the maximum level of induction (3.1 fold) reached 12 h following the treatment. How_x0002_ever, no p53 induction has been observed in response to γ-rays (Fig. 2, Table 1). Interestingly, p21 level did not significantly increase in response to both UV light and γ-rays (Fig. 2, Table 1). </t>
  </si>
  <si>
    <t xml:space="preserve">Regarding MEN1, p53 was induced only in response to UV light with the maximum level of induction (3.1 fold) reached 12 h following the treatment. How_x0002_ever, no p53 induction has been observed in response to γ-rays (Fig. 2, Table 1). Interestingly, p21 level did not significantly increase in response to both UV light and γ-rays (Fig. 2, Table 1). </t>
    <phoneticPr fontId="1" type="noConversion"/>
  </si>
  <si>
    <t>MEN1</t>
  </si>
  <si>
    <t>MEN1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</si>
</sst>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9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rgb="FF000000"/>
      <name val="Microsoft YaHei UI"/>
      <family val="2"/>
      <charset val="134"/>
    </font>
    <font>
      <b/>
      <sz val="10"/>
      <color rgb="FF000000"/>
      <name val="Microsoft YaHei UI"/>
      <family val="2"/>
      <charset val="134"/>
    </font>
    <font>
      <sz val="10"/>
      <color rgb="FF000000"/>
      <name val="等线"/>
      <family val="4"/>
      <charset val="134"/>
      <scheme val="minor"/>
    </font>
    <font>
      <sz val="12"/>
      <color theme="1"/>
      <name val="Calibri Light"/>
      <family val="2"/>
    </font>
    <font>
      <sz val="12"/>
      <color theme="1"/>
      <name val="Adobe 仿宋 Std R"/>
      <family val="1"/>
      <charset val="134"/>
    </font>
    <font>
      <sz val="12"/>
      <color rgb="FF000000"/>
      <name val="Adobe 仿宋 Std R"/>
      <family val="1"/>
      <charset val="134"/>
    </font>
    <font>
      <sz val="12"/>
      <color rgb="FF000000"/>
      <name val="Calibri Light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left" vertical="top" wrapText="1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8" fillId="0" borderId="0" xfId="0" applyFont="1">
      <alignment vertical="center"/>
    </xf>
    <xf numFmtId="0" fontId="5" fillId="0" borderId="6" xfId="0" applyFont="1" applyBorder="1">
      <alignment vertical="center"/>
    </xf>
    <xf numFmtId="0" fontId="5" fillId="0" borderId="7" xfId="0" applyFont="1" applyBorder="1">
      <alignment vertical="center"/>
    </xf>
    <xf numFmtId="0" fontId="5" fillId="0" borderId="8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49" fontId="5" fillId="0" borderId="0" xfId="0" applyNumberFormat="1" applyFont="1" applyAlignment="1" applyProtection="1">
      <alignment horizontal="left" vertical="center"/>
      <protection hidden="1"/>
    </xf>
    <xf numFmtId="49" fontId="5" fillId="0" borderId="0" xfId="0" applyNumberFormat="1" applyFont="1" applyAlignment="1" applyProtection="1">
      <alignment horizontal="left" vertical="top" wrapText="1"/>
      <protection hidden="1"/>
    </xf>
    <xf numFmtId="0" fontId="5" fillId="0" borderId="0" xfId="0" applyFont="1" applyAlignment="1" applyProtection="1">
      <alignment vertical="center" wrapText="1"/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5" fillId="0" borderId="0" xfId="0" applyFont="1" applyProtection="1">
      <alignment vertical="center"/>
      <protection hidden="1"/>
    </xf>
    <xf numFmtId="0" fontId="5" fillId="0" borderId="0" xfId="0" applyFont="1" applyAlignment="1" applyProtection="1">
      <alignment horizontal="left" vertical="center" indent="1"/>
      <protection hidden="1"/>
    </xf>
    <xf numFmtId="49" fontId="5" fillId="0" borderId="0" xfId="0" applyNumberFormat="1" applyFont="1" applyAlignment="1" applyProtection="1">
      <alignment horizontal="left" vertical="top"/>
      <protection hidden="1"/>
    </xf>
    <xf numFmtId="22" fontId="5" fillId="0" borderId="0" xfId="0" applyNumberFormat="1" applyFont="1" applyAlignment="1" applyProtection="1">
      <alignment horizontal="left" vertical="center"/>
      <protection hidden="1"/>
    </xf>
    <xf numFmtId="0" fontId="0" fillId="0" borderId="0" xfId="0" applyAlignment="1">
      <alignment horizontal="left" vertical="top"/>
    </xf>
    <xf numFmtId="49" fontId="0" fillId="0" borderId="0" xfId="0" applyNumberFormat="1" applyAlignment="1">
      <alignment horizontal="left" vertical="top"/>
    </xf>
    <xf numFmtId="22" fontId="0" fillId="0" borderId="0" xfId="0" applyNumberFormat="1" applyAlignment="1">
      <alignment horizontal="left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 vertical="center" wrapText="1"/>
      <protection hidden="1"/>
    </xf>
    <xf numFmtId="0" fontId="5" fillId="0" borderId="12" xfId="0" applyFont="1" applyBorder="1">
      <alignment vertical="center"/>
    </xf>
    <xf numFmtId="176" fontId="5" fillId="0" borderId="0" xfId="0" applyNumberFormat="1" applyFont="1" applyProtection="1">
      <alignment vertical="center"/>
      <protection hidden="1"/>
    </xf>
    <xf numFmtId="176" fontId="5" fillId="0" borderId="0" xfId="0" applyNumberFormat="1" applyFont="1" applyAlignment="1" applyProtection="1">
      <alignment horizontal="left" vertical="center"/>
      <protection hidden="1"/>
    </xf>
    <xf numFmtId="176" fontId="0" fillId="0" borderId="0" xfId="0" applyNumberFormat="1" applyAlignment="1">
      <alignment horizontal="left" vertical="top"/>
    </xf>
    <xf numFmtId="176" fontId="5" fillId="0" borderId="0" xfId="0" applyNumberFormat="1" applyFont="1" applyAlignment="1" applyProtection="1">
      <alignment horizontal="left" vertical="top" wrapText="1"/>
      <protection hidden="1"/>
    </xf>
    <xf numFmtId="176" fontId="5" fillId="0" borderId="0" xfId="0" applyNumberFormat="1" applyFont="1" applyAlignment="1" applyProtection="1">
      <alignment horizontal="left" vertical="top"/>
      <protection hidden="1"/>
    </xf>
    <xf numFmtId="176" fontId="0" fillId="0" borderId="0" xfId="0" applyNumberFormat="1">
      <alignment vertical="center"/>
    </xf>
    <xf numFmtId="0" fontId="5" fillId="0" borderId="0" xfId="0" applyFont="1" applyAlignment="1" applyProtection="1">
      <alignment horizontal="left" vertical="top" wrapText="1"/>
      <protection hidden="1"/>
    </xf>
    <xf numFmtId="0" fontId="5" fillId="0" borderId="4" xfId="0" applyFont="1" applyBorder="1" applyAlignment="1" applyProtection="1">
      <alignment vertical="center" wrapText="1"/>
      <protection hidden="1"/>
    </xf>
    <xf numFmtId="49" fontId="5" fillId="0" borderId="0" xfId="0" applyNumberFormat="1" applyFont="1" applyAlignment="1">
      <alignment horizontal="left" vertical="top" wrapText="1"/>
    </xf>
    <xf numFmtId="49" fontId="5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 wrapText="1"/>
    </xf>
    <xf numFmtId="0" fontId="5" fillId="0" borderId="4" xfId="0" applyFont="1" applyBorder="1" applyAlignment="1" applyProtection="1">
      <alignment horizontal="center" vertical="center" wrapText="1"/>
      <protection hidden="1"/>
    </xf>
    <xf numFmtId="0" fontId="5" fillId="0" borderId="0" xfId="0" applyFont="1" applyAlignment="1">
      <alignment horizontal="center" vertical="center"/>
    </xf>
    <xf numFmtId="0" fontId="6" fillId="0" borderId="4" xfId="0" applyFont="1" applyBorder="1" applyAlignment="1" applyProtection="1">
      <alignment horizontal="center" vertical="center" wrapText="1"/>
      <protection hidden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43.emf"/><Relationship Id="rId18" Type="http://schemas.openxmlformats.org/officeDocument/2006/relationships/image" Target="../media/image38.emf"/><Relationship Id="rId26" Type="http://schemas.openxmlformats.org/officeDocument/2006/relationships/image" Target="../media/image30.emf"/><Relationship Id="rId39" Type="http://schemas.openxmlformats.org/officeDocument/2006/relationships/image" Target="../media/image17.emf"/><Relationship Id="rId21" Type="http://schemas.openxmlformats.org/officeDocument/2006/relationships/image" Target="../media/image35.emf"/><Relationship Id="rId34" Type="http://schemas.openxmlformats.org/officeDocument/2006/relationships/image" Target="../media/image22.emf"/><Relationship Id="rId42" Type="http://schemas.openxmlformats.org/officeDocument/2006/relationships/image" Target="../media/image14.emf"/><Relationship Id="rId47" Type="http://schemas.openxmlformats.org/officeDocument/2006/relationships/image" Target="../media/image9.emf"/><Relationship Id="rId50" Type="http://schemas.openxmlformats.org/officeDocument/2006/relationships/image" Target="../media/image57.emf"/><Relationship Id="rId55" Type="http://schemas.openxmlformats.org/officeDocument/2006/relationships/image" Target="../media/image5.emf"/><Relationship Id="rId7" Type="http://schemas.openxmlformats.org/officeDocument/2006/relationships/image" Target="../media/image51.emf"/><Relationship Id="rId12" Type="http://schemas.openxmlformats.org/officeDocument/2006/relationships/image" Target="../media/image44.emf"/><Relationship Id="rId17" Type="http://schemas.openxmlformats.org/officeDocument/2006/relationships/image" Target="../media/image39.emf"/><Relationship Id="rId25" Type="http://schemas.openxmlformats.org/officeDocument/2006/relationships/image" Target="../media/image31.emf"/><Relationship Id="rId33" Type="http://schemas.openxmlformats.org/officeDocument/2006/relationships/image" Target="../media/image23.emf"/><Relationship Id="rId38" Type="http://schemas.openxmlformats.org/officeDocument/2006/relationships/image" Target="../media/image18.emf"/><Relationship Id="rId46" Type="http://schemas.openxmlformats.org/officeDocument/2006/relationships/image" Target="../media/image10.emf"/><Relationship Id="rId59" Type="http://schemas.openxmlformats.org/officeDocument/2006/relationships/image" Target="../media/image1.emf"/><Relationship Id="rId2" Type="http://schemas.openxmlformats.org/officeDocument/2006/relationships/image" Target="../media/image48.emf"/><Relationship Id="rId16" Type="http://schemas.openxmlformats.org/officeDocument/2006/relationships/image" Target="../media/image40.emf"/><Relationship Id="rId20" Type="http://schemas.openxmlformats.org/officeDocument/2006/relationships/image" Target="../media/image36.emf"/><Relationship Id="rId29" Type="http://schemas.openxmlformats.org/officeDocument/2006/relationships/image" Target="../media/image27.emf"/><Relationship Id="rId41" Type="http://schemas.openxmlformats.org/officeDocument/2006/relationships/image" Target="../media/image15.emf"/><Relationship Id="rId54" Type="http://schemas.openxmlformats.org/officeDocument/2006/relationships/image" Target="../media/image6.emf"/><Relationship Id="rId1" Type="http://schemas.openxmlformats.org/officeDocument/2006/relationships/image" Target="../media/image47.emf"/><Relationship Id="rId6" Type="http://schemas.openxmlformats.org/officeDocument/2006/relationships/image" Target="../media/image45.emf"/><Relationship Id="rId11" Type="http://schemas.openxmlformats.org/officeDocument/2006/relationships/image" Target="../media/image55.emf"/><Relationship Id="rId24" Type="http://schemas.openxmlformats.org/officeDocument/2006/relationships/image" Target="../media/image32.emf"/><Relationship Id="rId32" Type="http://schemas.openxmlformats.org/officeDocument/2006/relationships/image" Target="../media/image24.emf"/><Relationship Id="rId37" Type="http://schemas.openxmlformats.org/officeDocument/2006/relationships/image" Target="../media/image19.emf"/><Relationship Id="rId40" Type="http://schemas.openxmlformats.org/officeDocument/2006/relationships/image" Target="../media/image16.emf"/><Relationship Id="rId45" Type="http://schemas.openxmlformats.org/officeDocument/2006/relationships/image" Target="../media/image11.emf"/><Relationship Id="rId53" Type="http://schemas.openxmlformats.org/officeDocument/2006/relationships/image" Target="../media/image7.emf"/><Relationship Id="rId58" Type="http://schemas.openxmlformats.org/officeDocument/2006/relationships/image" Target="../media/image2.emf"/><Relationship Id="rId5" Type="http://schemas.openxmlformats.org/officeDocument/2006/relationships/image" Target="../media/image46.emf"/><Relationship Id="rId15" Type="http://schemas.openxmlformats.org/officeDocument/2006/relationships/image" Target="../media/image41.emf"/><Relationship Id="rId23" Type="http://schemas.openxmlformats.org/officeDocument/2006/relationships/image" Target="../media/image33.emf"/><Relationship Id="rId28" Type="http://schemas.openxmlformats.org/officeDocument/2006/relationships/image" Target="../media/image28.emf"/><Relationship Id="rId36" Type="http://schemas.openxmlformats.org/officeDocument/2006/relationships/image" Target="../media/image20.emf"/><Relationship Id="rId49" Type="http://schemas.openxmlformats.org/officeDocument/2006/relationships/image" Target="../media/image56.emf"/><Relationship Id="rId57" Type="http://schemas.openxmlformats.org/officeDocument/2006/relationships/image" Target="../media/image3.emf"/><Relationship Id="rId10" Type="http://schemas.openxmlformats.org/officeDocument/2006/relationships/image" Target="../media/image54.emf"/><Relationship Id="rId19" Type="http://schemas.openxmlformats.org/officeDocument/2006/relationships/image" Target="../media/image37.emf"/><Relationship Id="rId31" Type="http://schemas.openxmlformats.org/officeDocument/2006/relationships/image" Target="../media/image25.emf"/><Relationship Id="rId44" Type="http://schemas.openxmlformats.org/officeDocument/2006/relationships/image" Target="../media/image12.emf"/><Relationship Id="rId52" Type="http://schemas.openxmlformats.org/officeDocument/2006/relationships/image" Target="../media/image59.emf"/><Relationship Id="rId4" Type="http://schemas.openxmlformats.org/officeDocument/2006/relationships/image" Target="../media/image50.emf"/><Relationship Id="rId9" Type="http://schemas.openxmlformats.org/officeDocument/2006/relationships/image" Target="../media/image53.emf"/><Relationship Id="rId14" Type="http://schemas.openxmlformats.org/officeDocument/2006/relationships/image" Target="../media/image42.emf"/><Relationship Id="rId22" Type="http://schemas.openxmlformats.org/officeDocument/2006/relationships/image" Target="../media/image34.emf"/><Relationship Id="rId27" Type="http://schemas.openxmlformats.org/officeDocument/2006/relationships/image" Target="../media/image29.emf"/><Relationship Id="rId30" Type="http://schemas.openxmlformats.org/officeDocument/2006/relationships/image" Target="../media/image26.emf"/><Relationship Id="rId35" Type="http://schemas.openxmlformats.org/officeDocument/2006/relationships/image" Target="../media/image21.emf"/><Relationship Id="rId43" Type="http://schemas.openxmlformats.org/officeDocument/2006/relationships/image" Target="../media/image13.emf"/><Relationship Id="rId48" Type="http://schemas.openxmlformats.org/officeDocument/2006/relationships/image" Target="../media/image8.emf"/><Relationship Id="rId56" Type="http://schemas.openxmlformats.org/officeDocument/2006/relationships/image" Target="../media/image4.emf"/><Relationship Id="rId8" Type="http://schemas.openxmlformats.org/officeDocument/2006/relationships/image" Target="../media/image52.emf"/><Relationship Id="rId51" Type="http://schemas.openxmlformats.org/officeDocument/2006/relationships/image" Target="../media/image58.emf"/><Relationship Id="rId3" Type="http://schemas.openxmlformats.org/officeDocument/2006/relationships/image" Target="../media/image4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Relationship Id="rId4" Type="http://schemas.openxmlformats.org/officeDocument/2006/relationships/image" Target="../media/image6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1079500</xdr:colOff>
          <xdr:row>29</xdr:row>
          <xdr:rowOff>12700</xdr:rowOff>
        </xdr:from>
        <xdr:to>
          <xdr:col>4</xdr:col>
          <xdr:colOff>2082800</xdr:colOff>
          <xdr:row>30</xdr:row>
          <xdr:rowOff>171450</xdr:rowOff>
        </xdr:to>
        <xdr:sp macro="" textlink="">
          <xdr:nvSpPr>
            <xdr:cNvPr id="1060" name="CommandButton1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2095500</xdr:colOff>
          <xdr:row>29</xdr:row>
          <xdr:rowOff>12700</xdr:rowOff>
        </xdr:from>
        <xdr:to>
          <xdr:col>4</xdr:col>
          <xdr:colOff>3098800</xdr:colOff>
          <xdr:row>30</xdr:row>
          <xdr:rowOff>171450</xdr:rowOff>
        </xdr:to>
        <xdr:sp macro="" textlink="">
          <xdr:nvSpPr>
            <xdr:cNvPr id="1061" name="CommandButton13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</xdr:colOff>
          <xdr:row>31</xdr:row>
          <xdr:rowOff>25400</xdr:rowOff>
        </xdr:from>
        <xdr:to>
          <xdr:col>4</xdr:col>
          <xdr:colOff>1035050</xdr:colOff>
          <xdr:row>32</xdr:row>
          <xdr:rowOff>184150</xdr:rowOff>
        </xdr:to>
        <xdr:sp macro="" textlink="">
          <xdr:nvSpPr>
            <xdr:cNvPr id="1062" name="ToggleButton11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1066800</xdr:colOff>
          <xdr:row>31</xdr:row>
          <xdr:rowOff>25400</xdr:rowOff>
        </xdr:from>
        <xdr:to>
          <xdr:col>4</xdr:col>
          <xdr:colOff>2070100</xdr:colOff>
          <xdr:row>32</xdr:row>
          <xdr:rowOff>184150</xdr:rowOff>
        </xdr:to>
        <xdr:sp macro="" textlink="">
          <xdr:nvSpPr>
            <xdr:cNvPr id="1063" name="ToggleButton12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</xdr:colOff>
          <xdr:row>29</xdr:row>
          <xdr:rowOff>12700</xdr:rowOff>
        </xdr:from>
        <xdr:to>
          <xdr:col>4</xdr:col>
          <xdr:colOff>1054100</xdr:colOff>
          <xdr:row>30</xdr:row>
          <xdr:rowOff>171450</xdr:rowOff>
        </xdr:to>
        <xdr:sp macro="" textlink="">
          <xdr:nvSpPr>
            <xdr:cNvPr id="1069" name="CommandButton11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</xdr:colOff>
          <xdr:row>29</xdr:row>
          <xdr:rowOff>12700</xdr:rowOff>
        </xdr:from>
        <xdr:to>
          <xdr:col>1</xdr:col>
          <xdr:colOff>1485900</xdr:colOff>
          <xdr:row>30</xdr:row>
          <xdr:rowOff>171450</xdr:rowOff>
        </xdr:to>
        <xdr:sp macro="" textlink="">
          <xdr:nvSpPr>
            <xdr:cNvPr id="1071" name="CommandButton01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29</xdr:row>
          <xdr:rowOff>12700</xdr:rowOff>
        </xdr:from>
        <xdr:to>
          <xdr:col>5</xdr:col>
          <xdr:colOff>1041400</xdr:colOff>
          <xdr:row>30</xdr:row>
          <xdr:rowOff>171450</xdr:rowOff>
        </xdr:to>
        <xdr:sp macro="" textlink="">
          <xdr:nvSpPr>
            <xdr:cNvPr id="1074" name="CommandButton21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1060450</xdr:colOff>
          <xdr:row>29</xdr:row>
          <xdr:rowOff>12700</xdr:rowOff>
        </xdr:from>
        <xdr:to>
          <xdr:col>5</xdr:col>
          <xdr:colOff>2063750</xdr:colOff>
          <xdr:row>30</xdr:row>
          <xdr:rowOff>171450</xdr:rowOff>
        </xdr:to>
        <xdr:sp macro="" textlink="">
          <xdr:nvSpPr>
            <xdr:cNvPr id="1075" name="CommandButton22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2089150</xdr:colOff>
          <xdr:row>29</xdr:row>
          <xdr:rowOff>12700</xdr:rowOff>
        </xdr:from>
        <xdr:to>
          <xdr:col>5</xdr:col>
          <xdr:colOff>3092450</xdr:colOff>
          <xdr:row>30</xdr:row>
          <xdr:rowOff>171450</xdr:rowOff>
        </xdr:to>
        <xdr:sp macro="" textlink="">
          <xdr:nvSpPr>
            <xdr:cNvPr id="1076" name="CommandButton23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31</xdr:row>
          <xdr:rowOff>31750</xdr:rowOff>
        </xdr:from>
        <xdr:to>
          <xdr:col>5</xdr:col>
          <xdr:colOff>1041400</xdr:colOff>
          <xdr:row>32</xdr:row>
          <xdr:rowOff>190500</xdr:rowOff>
        </xdr:to>
        <xdr:sp macro="" textlink="">
          <xdr:nvSpPr>
            <xdr:cNvPr id="1078" name="ToggleButton21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1060450</xdr:colOff>
          <xdr:row>31</xdr:row>
          <xdr:rowOff>31750</xdr:rowOff>
        </xdr:from>
        <xdr:to>
          <xdr:col>5</xdr:col>
          <xdr:colOff>2063750</xdr:colOff>
          <xdr:row>32</xdr:row>
          <xdr:rowOff>190500</xdr:rowOff>
        </xdr:to>
        <xdr:sp macro="" textlink="">
          <xdr:nvSpPr>
            <xdr:cNvPr id="1079" name="ToggleButton22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29</xdr:row>
          <xdr:rowOff>12700</xdr:rowOff>
        </xdr:from>
        <xdr:to>
          <xdr:col>6</xdr:col>
          <xdr:colOff>1041400</xdr:colOff>
          <xdr:row>30</xdr:row>
          <xdr:rowOff>171450</xdr:rowOff>
        </xdr:to>
        <xdr:sp macro="" textlink="">
          <xdr:nvSpPr>
            <xdr:cNvPr id="1081" name="CommandButton31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1066800</xdr:colOff>
          <xdr:row>29</xdr:row>
          <xdr:rowOff>12700</xdr:rowOff>
        </xdr:from>
        <xdr:to>
          <xdr:col>6</xdr:col>
          <xdr:colOff>2070100</xdr:colOff>
          <xdr:row>30</xdr:row>
          <xdr:rowOff>171450</xdr:rowOff>
        </xdr:to>
        <xdr:sp macro="" textlink="">
          <xdr:nvSpPr>
            <xdr:cNvPr id="1082" name="CommandButton32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2089150</xdr:colOff>
          <xdr:row>29</xdr:row>
          <xdr:rowOff>12700</xdr:rowOff>
        </xdr:from>
        <xdr:to>
          <xdr:col>6</xdr:col>
          <xdr:colOff>3092450</xdr:colOff>
          <xdr:row>30</xdr:row>
          <xdr:rowOff>171450</xdr:rowOff>
        </xdr:to>
        <xdr:sp macro="" textlink="">
          <xdr:nvSpPr>
            <xdr:cNvPr id="1083" name="CommandButton33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31750</xdr:colOff>
          <xdr:row>31</xdr:row>
          <xdr:rowOff>31750</xdr:rowOff>
        </xdr:from>
        <xdr:to>
          <xdr:col>6</xdr:col>
          <xdr:colOff>1035050</xdr:colOff>
          <xdr:row>32</xdr:row>
          <xdr:rowOff>190500</xdr:rowOff>
        </xdr:to>
        <xdr:sp macro="" textlink="">
          <xdr:nvSpPr>
            <xdr:cNvPr id="1084" name="ToggleButton31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1054100</xdr:colOff>
          <xdr:row>31</xdr:row>
          <xdr:rowOff>31750</xdr:rowOff>
        </xdr:from>
        <xdr:to>
          <xdr:col>6</xdr:col>
          <xdr:colOff>2057400</xdr:colOff>
          <xdr:row>32</xdr:row>
          <xdr:rowOff>190500</xdr:rowOff>
        </xdr:to>
        <xdr:sp macro="" textlink="">
          <xdr:nvSpPr>
            <xdr:cNvPr id="1085" name="ToggleButton32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29</xdr:row>
          <xdr:rowOff>12700</xdr:rowOff>
        </xdr:from>
        <xdr:to>
          <xdr:col>7</xdr:col>
          <xdr:colOff>1016000</xdr:colOff>
          <xdr:row>30</xdr:row>
          <xdr:rowOff>171450</xdr:rowOff>
        </xdr:to>
        <xdr:sp macro="" textlink="">
          <xdr:nvSpPr>
            <xdr:cNvPr id="1086" name="CommandButton41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1028700</xdr:colOff>
          <xdr:row>29</xdr:row>
          <xdr:rowOff>12700</xdr:rowOff>
        </xdr:from>
        <xdr:to>
          <xdr:col>7</xdr:col>
          <xdr:colOff>2032000</xdr:colOff>
          <xdr:row>30</xdr:row>
          <xdr:rowOff>171450</xdr:rowOff>
        </xdr:to>
        <xdr:sp macro="" textlink="">
          <xdr:nvSpPr>
            <xdr:cNvPr id="1087" name="CommandButton42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2057400</xdr:colOff>
          <xdr:row>29</xdr:row>
          <xdr:rowOff>12700</xdr:rowOff>
        </xdr:from>
        <xdr:to>
          <xdr:col>7</xdr:col>
          <xdr:colOff>3060700</xdr:colOff>
          <xdr:row>30</xdr:row>
          <xdr:rowOff>171450</xdr:rowOff>
        </xdr:to>
        <xdr:sp macro="" textlink="">
          <xdr:nvSpPr>
            <xdr:cNvPr id="1088" name="CommandButton43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25400</xdr:colOff>
          <xdr:row>31</xdr:row>
          <xdr:rowOff>31750</xdr:rowOff>
        </xdr:from>
        <xdr:to>
          <xdr:col>7</xdr:col>
          <xdr:colOff>1028700</xdr:colOff>
          <xdr:row>32</xdr:row>
          <xdr:rowOff>190500</xdr:rowOff>
        </xdr:to>
        <xdr:sp macro="" textlink="">
          <xdr:nvSpPr>
            <xdr:cNvPr id="1089" name="ToggleButton41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1028700</xdr:colOff>
          <xdr:row>31</xdr:row>
          <xdr:rowOff>31750</xdr:rowOff>
        </xdr:from>
        <xdr:to>
          <xdr:col>7</xdr:col>
          <xdr:colOff>2032000</xdr:colOff>
          <xdr:row>32</xdr:row>
          <xdr:rowOff>190500</xdr:rowOff>
        </xdr:to>
        <xdr:sp macro="" textlink="">
          <xdr:nvSpPr>
            <xdr:cNvPr id="1090" name="ToggleButton42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</xdr:colOff>
          <xdr:row>29</xdr:row>
          <xdr:rowOff>12700</xdr:rowOff>
        </xdr:from>
        <xdr:to>
          <xdr:col>8</xdr:col>
          <xdr:colOff>1035050</xdr:colOff>
          <xdr:row>30</xdr:row>
          <xdr:rowOff>171450</xdr:rowOff>
        </xdr:to>
        <xdr:sp macro="" textlink="">
          <xdr:nvSpPr>
            <xdr:cNvPr id="1091" name="CommandButton51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1060450</xdr:colOff>
          <xdr:row>29</xdr:row>
          <xdr:rowOff>12700</xdr:rowOff>
        </xdr:from>
        <xdr:to>
          <xdr:col>8</xdr:col>
          <xdr:colOff>2063750</xdr:colOff>
          <xdr:row>30</xdr:row>
          <xdr:rowOff>171450</xdr:rowOff>
        </xdr:to>
        <xdr:sp macro="" textlink="">
          <xdr:nvSpPr>
            <xdr:cNvPr id="1092" name="CommandButton52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2089150</xdr:colOff>
          <xdr:row>29</xdr:row>
          <xdr:rowOff>12700</xdr:rowOff>
        </xdr:from>
        <xdr:to>
          <xdr:col>8</xdr:col>
          <xdr:colOff>3092450</xdr:colOff>
          <xdr:row>30</xdr:row>
          <xdr:rowOff>171450</xdr:rowOff>
        </xdr:to>
        <xdr:sp macro="" textlink="">
          <xdr:nvSpPr>
            <xdr:cNvPr id="1093" name="CommandButton53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31</xdr:row>
          <xdr:rowOff>31750</xdr:rowOff>
        </xdr:from>
        <xdr:to>
          <xdr:col>8</xdr:col>
          <xdr:colOff>1041400</xdr:colOff>
          <xdr:row>32</xdr:row>
          <xdr:rowOff>190500</xdr:rowOff>
        </xdr:to>
        <xdr:sp macro="" textlink="">
          <xdr:nvSpPr>
            <xdr:cNvPr id="1094" name="ToggleButton51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1066800</xdr:colOff>
          <xdr:row>31</xdr:row>
          <xdr:rowOff>31750</xdr:rowOff>
        </xdr:from>
        <xdr:to>
          <xdr:col>8</xdr:col>
          <xdr:colOff>2070100</xdr:colOff>
          <xdr:row>32</xdr:row>
          <xdr:rowOff>190500</xdr:rowOff>
        </xdr:to>
        <xdr:sp macro="" textlink="">
          <xdr:nvSpPr>
            <xdr:cNvPr id="1095" name="ToggleButton52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29</xdr:row>
          <xdr:rowOff>12700</xdr:rowOff>
        </xdr:from>
        <xdr:to>
          <xdr:col>9</xdr:col>
          <xdr:colOff>1035050</xdr:colOff>
          <xdr:row>30</xdr:row>
          <xdr:rowOff>171450</xdr:rowOff>
        </xdr:to>
        <xdr:sp macro="" textlink="">
          <xdr:nvSpPr>
            <xdr:cNvPr id="1096" name="CommandButton61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1060450</xdr:colOff>
          <xdr:row>29</xdr:row>
          <xdr:rowOff>12700</xdr:rowOff>
        </xdr:from>
        <xdr:to>
          <xdr:col>9</xdr:col>
          <xdr:colOff>2063750</xdr:colOff>
          <xdr:row>30</xdr:row>
          <xdr:rowOff>171450</xdr:rowOff>
        </xdr:to>
        <xdr:sp macro="" textlink="">
          <xdr:nvSpPr>
            <xdr:cNvPr id="1097" name="CommandButton62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31</xdr:row>
          <xdr:rowOff>31750</xdr:rowOff>
        </xdr:from>
        <xdr:to>
          <xdr:col>9</xdr:col>
          <xdr:colOff>1041400</xdr:colOff>
          <xdr:row>32</xdr:row>
          <xdr:rowOff>190500</xdr:rowOff>
        </xdr:to>
        <xdr:sp macro="" textlink="">
          <xdr:nvSpPr>
            <xdr:cNvPr id="1098" name="ToggleButton61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1054100</xdr:colOff>
          <xdr:row>31</xdr:row>
          <xdr:rowOff>31750</xdr:rowOff>
        </xdr:from>
        <xdr:to>
          <xdr:col>9</xdr:col>
          <xdr:colOff>2057400</xdr:colOff>
          <xdr:row>32</xdr:row>
          <xdr:rowOff>190500</xdr:rowOff>
        </xdr:to>
        <xdr:sp macro="" textlink="">
          <xdr:nvSpPr>
            <xdr:cNvPr id="1099" name="ToggleButton62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2082800</xdr:colOff>
          <xdr:row>29</xdr:row>
          <xdr:rowOff>12700</xdr:rowOff>
        </xdr:from>
        <xdr:to>
          <xdr:col>9</xdr:col>
          <xdr:colOff>3086100</xdr:colOff>
          <xdr:row>30</xdr:row>
          <xdr:rowOff>171450</xdr:rowOff>
        </xdr:to>
        <xdr:sp macro="" textlink="">
          <xdr:nvSpPr>
            <xdr:cNvPr id="1100" name="CommandButton63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29</xdr:row>
          <xdr:rowOff>12700</xdr:rowOff>
        </xdr:from>
        <xdr:to>
          <xdr:col>10</xdr:col>
          <xdr:colOff>1028700</xdr:colOff>
          <xdr:row>30</xdr:row>
          <xdr:rowOff>171450</xdr:rowOff>
        </xdr:to>
        <xdr:sp macro="" textlink="">
          <xdr:nvSpPr>
            <xdr:cNvPr id="1101" name="CommandButton71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1041400</xdr:colOff>
          <xdr:row>29</xdr:row>
          <xdr:rowOff>12700</xdr:rowOff>
        </xdr:from>
        <xdr:to>
          <xdr:col>10</xdr:col>
          <xdr:colOff>2044700</xdr:colOff>
          <xdr:row>30</xdr:row>
          <xdr:rowOff>171450</xdr:rowOff>
        </xdr:to>
        <xdr:sp macro="" textlink="">
          <xdr:nvSpPr>
            <xdr:cNvPr id="1102" name="CommandButton72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2070100</xdr:colOff>
          <xdr:row>29</xdr:row>
          <xdr:rowOff>12700</xdr:rowOff>
        </xdr:from>
        <xdr:to>
          <xdr:col>10</xdr:col>
          <xdr:colOff>3073400</xdr:colOff>
          <xdr:row>30</xdr:row>
          <xdr:rowOff>171450</xdr:rowOff>
        </xdr:to>
        <xdr:sp macro="" textlink="">
          <xdr:nvSpPr>
            <xdr:cNvPr id="1103" name="CommandButton73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31</xdr:row>
          <xdr:rowOff>31750</xdr:rowOff>
        </xdr:from>
        <xdr:to>
          <xdr:col>10</xdr:col>
          <xdr:colOff>1041400</xdr:colOff>
          <xdr:row>32</xdr:row>
          <xdr:rowOff>190500</xdr:rowOff>
        </xdr:to>
        <xdr:sp macro="" textlink="">
          <xdr:nvSpPr>
            <xdr:cNvPr id="1104" name="ToggleButton71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1066800</xdr:colOff>
          <xdr:row>31</xdr:row>
          <xdr:rowOff>31750</xdr:rowOff>
        </xdr:from>
        <xdr:to>
          <xdr:col>10</xdr:col>
          <xdr:colOff>2070100</xdr:colOff>
          <xdr:row>32</xdr:row>
          <xdr:rowOff>190500</xdr:rowOff>
        </xdr:to>
        <xdr:sp macro="" textlink="">
          <xdr:nvSpPr>
            <xdr:cNvPr id="1105" name="ToggleButton72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31750</xdr:colOff>
          <xdr:row>29</xdr:row>
          <xdr:rowOff>12700</xdr:rowOff>
        </xdr:from>
        <xdr:to>
          <xdr:col>11</xdr:col>
          <xdr:colOff>1035050</xdr:colOff>
          <xdr:row>30</xdr:row>
          <xdr:rowOff>171450</xdr:rowOff>
        </xdr:to>
        <xdr:sp macro="" textlink="">
          <xdr:nvSpPr>
            <xdr:cNvPr id="1106" name="CommandButton81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1066800</xdr:colOff>
          <xdr:row>29</xdr:row>
          <xdr:rowOff>12700</xdr:rowOff>
        </xdr:from>
        <xdr:to>
          <xdr:col>11</xdr:col>
          <xdr:colOff>2070100</xdr:colOff>
          <xdr:row>30</xdr:row>
          <xdr:rowOff>171450</xdr:rowOff>
        </xdr:to>
        <xdr:sp macro="" textlink="">
          <xdr:nvSpPr>
            <xdr:cNvPr id="1107" name="CommandButton82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2089150</xdr:colOff>
          <xdr:row>29</xdr:row>
          <xdr:rowOff>12700</xdr:rowOff>
        </xdr:from>
        <xdr:to>
          <xdr:col>11</xdr:col>
          <xdr:colOff>3092450</xdr:colOff>
          <xdr:row>30</xdr:row>
          <xdr:rowOff>171450</xdr:rowOff>
        </xdr:to>
        <xdr:sp macro="" textlink="">
          <xdr:nvSpPr>
            <xdr:cNvPr id="1108" name="CommandButton83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31</xdr:row>
          <xdr:rowOff>31750</xdr:rowOff>
        </xdr:from>
        <xdr:to>
          <xdr:col>11</xdr:col>
          <xdr:colOff>1041400</xdr:colOff>
          <xdr:row>32</xdr:row>
          <xdr:rowOff>190500</xdr:rowOff>
        </xdr:to>
        <xdr:sp macro="" textlink="">
          <xdr:nvSpPr>
            <xdr:cNvPr id="1109" name="ToggleButton81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1066800</xdr:colOff>
          <xdr:row>31</xdr:row>
          <xdr:rowOff>31750</xdr:rowOff>
        </xdr:from>
        <xdr:to>
          <xdr:col>11</xdr:col>
          <xdr:colOff>2070100</xdr:colOff>
          <xdr:row>32</xdr:row>
          <xdr:rowOff>190500</xdr:rowOff>
        </xdr:to>
        <xdr:sp macro="" textlink="">
          <xdr:nvSpPr>
            <xdr:cNvPr id="1110" name="ToggleButton82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29</xdr:row>
          <xdr:rowOff>12700</xdr:rowOff>
        </xdr:from>
        <xdr:to>
          <xdr:col>12</xdr:col>
          <xdr:colOff>1035050</xdr:colOff>
          <xdr:row>30</xdr:row>
          <xdr:rowOff>171450</xdr:rowOff>
        </xdr:to>
        <xdr:sp macro="" textlink="">
          <xdr:nvSpPr>
            <xdr:cNvPr id="1111" name="CommandButton91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1060450</xdr:colOff>
          <xdr:row>29</xdr:row>
          <xdr:rowOff>12700</xdr:rowOff>
        </xdr:from>
        <xdr:to>
          <xdr:col>12</xdr:col>
          <xdr:colOff>2063750</xdr:colOff>
          <xdr:row>30</xdr:row>
          <xdr:rowOff>171450</xdr:rowOff>
        </xdr:to>
        <xdr:sp macro="" textlink="">
          <xdr:nvSpPr>
            <xdr:cNvPr id="1112" name="CommandButton92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2082800</xdr:colOff>
          <xdr:row>29</xdr:row>
          <xdr:rowOff>12700</xdr:rowOff>
        </xdr:from>
        <xdr:to>
          <xdr:col>12</xdr:col>
          <xdr:colOff>3086100</xdr:colOff>
          <xdr:row>30</xdr:row>
          <xdr:rowOff>171450</xdr:rowOff>
        </xdr:to>
        <xdr:sp macro="" textlink="">
          <xdr:nvSpPr>
            <xdr:cNvPr id="1113" name="CommandButton93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31</xdr:row>
          <xdr:rowOff>31750</xdr:rowOff>
        </xdr:from>
        <xdr:to>
          <xdr:col>12</xdr:col>
          <xdr:colOff>1041400</xdr:colOff>
          <xdr:row>32</xdr:row>
          <xdr:rowOff>190500</xdr:rowOff>
        </xdr:to>
        <xdr:sp macro="" textlink="">
          <xdr:nvSpPr>
            <xdr:cNvPr id="1114" name="ToggleButton91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1060450</xdr:colOff>
          <xdr:row>31</xdr:row>
          <xdr:rowOff>31750</xdr:rowOff>
        </xdr:from>
        <xdr:to>
          <xdr:col>12</xdr:col>
          <xdr:colOff>2063750</xdr:colOff>
          <xdr:row>32</xdr:row>
          <xdr:rowOff>190500</xdr:rowOff>
        </xdr:to>
        <xdr:sp macro="" textlink="">
          <xdr:nvSpPr>
            <xdr:cNvPr id="1115" name="ToggleButton92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31</xdr:row>
          <xdr:rowOff>38100</xdr:rowOff>
        </xdr:from>
        <xdr:to>
          <xdr:col>1</xdr:col>
          <xdr:colOff>749300</xdr:colOff>
          <xdr:row>32</xdr:row>
          <xdr:rowOff>171450</xdr:rowOff>
        </xdr:to>
        <xdr:sp macro="" textlink="">
          <xdr:nvSpPr>
            <xdr:cNvPr id="1116" name="CommandButton0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31</xdr:row>
          <xdr:rowOff>38100</xdr:rowOff>
        </xdr:from>
        <xdr:to>
          <xdr:col>1</xdr:col>
          <xdr:colOff>1479550</xdr:colOff>
          <xdr:row>32</xdr:row>
          <xdr:rowOff>171450</xdr:rowOff>
        </xdr:to>
        <xdr:sp macro="" textlink="">
          <xdr:nvSpPr>
            <xdr:cNvPr id="1117" name="CommandButton0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29</xdr:row>
          <xdr:rowOff>31750</xdr:rowOff>
        </xdr:from>
        <xdr:to>
          <xdr:col>1</xdr:col>
          <xdr:colOff>0</xdr:colOff>
          <xdr:row>32</xdr:row>
          <xdr:rowOff>165100</xdr:rowOff>
        </xdr:to>
        <xdr:sp macro="" textlink="">
          <xdr:nvSpPr>
            <xdr:cNvPr id="1118" name="CommandButton0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2</xdr:row>
          <xdr:rowOff>12700</xdr:rowOff>
        </xdr:from>
        <xdr:to>
          <xdr:col>0</xdr:col>
          <xdr:colOff>692150</xdr:colOff>
          <xdr:row>3</xdr:row>
          <xdr:rowOff>215900</xdr:rowOff>
        </xdr:to>
        <xdr:sp macro="" textlink="">
          <xdr:nvSpPr>
            <xdr:cNvPr id="1120" name="CommandButtonA3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4</xdr:row>
          <xdr:rowOff>12700</xdr:rowOff>
        </xdr:from>
        <xdr:to>
          <xdr:col>0</xdr:col>
          <xdr:colOff>685800</xdr:colOff>
          <xdr:row>7</xdr:row>
          <xdr:rowOff>241300</xdr:rowOff>
        </xdr:to>
        <xdr:sp macro="" textlink="">
          <xdr:nvSpPr>
            <xdr:cNvPr id="1121" name="CommandButtonA5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8</xdr:row>
          <xdr:rowOff>12700</xdr:rowOff>
        </xdr:from>
        <xdr:to>
          <xdr:col>0</xdr:col>
          <xdr:colOff>685800</xdr:colOff>
          <xdr:row>11</xdr:row>
          <xdr:rowOff>241300</xdr:rowOff>
        </xdr:to>
        <xdr:sp macro="" textlink="">
          <xdr:nvSpPr>
            <xdr:cNvPr id="1126" name="CommandButtonA9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12</xdr:row>
          <xdr:rowOff>12700</xdr:rowOff>
        </xdr:from>
        <xdr:to>
          <xdr:col>0</xdr:col>
          <xdr:colOff>698500</xdr:colOff>
          <xdr:row>16</xdr:row>
          <xdr:rowOff>165100</xdr:rowOff>
        </xdr:to>
        <xdr:sp macro="" textlink="">
          <xdr:nvSpPr>
            <xdr:cNvPr id="1128" name="CommandButtonA13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16</xdr:row>
          <xdr:rowOff>241300</xdr:rowOff>
        </xdr:from>
        <xdr:to>
          <xdr:col>0</xdr:col>
          <xdr:colOff>698500</xdr:colOff>
          <xdr:row>19</xdr:row>
          <xdr:rowOff>234950</xdr:rowOff>
        </xdr:to>
        <xdr:sp macro="" textlink="">
          <xdr:nvSpPr>
            <xdr:cNvPr id="1143" name="CommandButtonA18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20</xdr:row>
          <xdr:rowOff>12700</xdr:rowOff>
        </xdr:from>
        <xdr:to>
          <xdr:col>0</xdr:col>
          <xdr:colOff>698500</xdr:colOff>
          <xdr:row>24</xdr:row>
          <xdr:rowOff>215900</xdr:rowOff>
        </xdr:to>
        <xdr:sp macro="" textlink="">
          <xdr:nvSpPr>
            <xdr:cNvPr id="1152" name="CommandButtonA21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25</xdr:row>
          <xdr:rowOff>0</xdr:rowOff>
        </xdr:from>
        <xdr:to>
          <xdr:col>0</xdr:col>
          <xdr:colOff>698500</xdr:colOff>
          <xdr:row>27</xdr:row>
          <xdr:rowOff>0</xdr:rowOff>
        </xdr:to>
        <xdr:sp macro="" textlink="">
          <xdr:nvSpPr>
            <xdr:cNvPr id="1158" name="CommandButtonA26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31</xdr:row>
          <xdr:rowOff>38100</xdr:rowOff>
        </xdr:from>
        <xdr:to>
          <xdr:col>3</xdr:col>
          <xdr:colOff>1041400</xdr:colOff>
          <xdr:row>32</xdr:row>
          <xdr:rowOff>171450</xdr:rowOff>
        </xdr:to>
        <xdr:sp macro="" textlink="">
          <xdr:nvSpPr>
            <xdr:cNvPr id="1159" name="CommandButtonD321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1130300</xdr:colOff>
          <xdr:row>31</xdr:row>
          <xdr:rowOff>38100</xdr:rowOff>
        </xdr:from>
        <xdr:to>
          <xdr:col>3</xdr:col>
          <xdr:colOff>2152650</xdr:colOff>
          <xdr:row>32</xdr:row>
          <xdr:rowOff>171450</xdr:rowOff>
        </xdr:to>
        <xdr:sp macro="" textlink="">
          <xdr:nvSpPr>
            <xdr:cNvPr id="1160" name="CommandButtonD322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2235200</xdr:colOff>
          <xdr:row>31</xdr:row>
          <xdr:rowOff>38100</xdr:rowOff>
        </xdr:from>
        <xdr:to>
          <xdr:col>3</xdr:col>
          <xdr:colOff>3048000</xdr:colOff>
          <xdr:row>32</xdr:row>
          <xdr:rowOff>171450</xdr:rowOff>
        </xdr:to>
        <xdr:sp macro="" textlink="">
          <xdr:nvSpPr>
            <xdr:cNvPr id="1161" name="CommandButtonD323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31750</xdr:rowOff>
        </xdr:from>
        <xdr:to>
          <xdr:col>0</xdr:col>
          <xdr:colOff>431800</xdr:colOff>
          <xdr:row>1</xdr:row>
          <xdr:rowOff>0</xdr:rowOff>
        </xdr:to>
        <xdr:sp macro="" textlink="">
          <xdr:nvSpPr>
            <xdr:cNvPr id="2049" name="ToggleButtonA1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488950</xdr:colOff>
          <xdr:row>0</xdr:row>
          <xdr:rowOff>25400</xdr:rowOff>
        </xdr:from>
        <xdr:to>
          <xdr:col>0</xdr:col>
          <xdr:colOff>889000</xdr:colOff>
          <xdr:row>0</xdr:row>
          <xdr:rowOff>381000</xdr:rowOff>
        </xdr:to>
        <xdr:sp macro="" textlink="">
          <xdr:nvSpPr>
            <xdr:cNvPr id="2050" name="ToggleButtonA1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0</xdr:row>
          <xdr:rowOff>12700</xdr:rowOff>
        </xdr:from>
        <xdr:to>
          <xdr:col>1</xdr:col>
          <xdr:colOff>895350</xdr:colOff>
          <xdr:row>0</xdr:row>
          <xdr:rowOff>368300</xdr:rowOff>
        </xdr:to>
        <xdr:sp macro="" textlink="">
          <xdr:nvSpPr>
            <xdr:cNvPr id="2051" name="CommandButtonB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12700</xdr:rowOff>
        </xdr:from>
        <xdr:to>
          <xdr:col>2</xdr:col>
          <xdr:colOff>895350</xdr:colOff>
          <xdr:row>0</xdr:row>
          <xdr:rowOff>368300</xdr:rowOff>
        </xdr:to>
        <xdr:sp macro="" textlink="">
          <xdr:nvSpPr>
            <xdr:cNvPr id="2052" name="CommandButtonC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117" Type="http://schemas.openxmlformats.org/officeDocument/2006/relationships/image" Target="../media/image57.emf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84" Type="http://schemas.openxmlformats.org/officeDocument/2006/relationships/control" Target="../activeX/activeX41.xml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6" Type="http://schemas.openxmlformats.org/officeDocument/2006/relationships/control" Target="../activeX/activeX7.xml"/><Relationship Id="rId107" Type="http://schemas.openxmlformats.org/officeDocument/2006/relationships/image" Target="../media/image52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ontrol" Target="../activeX/activeX36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90" Type="http://schemas.openxmlformats.org/officeDocument/2006/relationships/control" Target="../activeX/activeX44.xml"/><Relationship Id="rId95" Type="http://schemas.openxmlformats.org/officeDocument/2006/relationships/image" Target="../media/image46.emf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105" Type="http://schemas.openxmlformats.org/officeDocument/2006/relationships/image" Target="../media/image51.emf"/><Relationship Id="rId113" Type="http://schemas.openxmlformats.org/officeDocument/2006/relationships/image" Target="../media/image55.emf"/><Relationship Id="rId118" Type="http://schemas.openxmlformats.org/officeDocument/2006/relationships/control" Target="../activeX/activeX58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80" Type="http://schemas.openxmlformats.org/officeDocument/2006/relationships/control" Target="../activeX/activeX39.xml"/><Relationship Id="rId85" Type="http://schemas.openxmlformats.org/officeDocument/2006/relationships/image" Target="../media/image41.emf"/><Relationship Id="rId93" Type="http://schemas.openxmlformats.org/officeDocument/2006/relationships/image" Target="../media/image45.emf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103" Type="http://schemas.openxmlformats.org/officeDocument/2006/relationships/image" Target="../media/image50.emf"/><Relationship Id="rId108" Type="http://schemas.openxmlformats.org/officeDocument/2006/relationships/control" Target="../activeX/activeX53.xml"/><Relationship Id="rId116" Type="http://schemas.openxmlformats.org/officeDocument/2006/relationships/control" Target="../activeX/activeX57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Relationship Id="rId91" Type="http://schemas.openxmlformats.org/officeDocument/2006/relationships/image" Target="../media/image44.emf"/><Relationship Id="rId96" Type="http://schemas.openxmlformats.org/officeDocument/2006/relationships/control" Target="../activeX/activeX47.xml"/><Relationship Id="rId111" Type="http://schemas.openxmlformats.org/officeDocument/2006/relationships/image" Target="../media/image54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6" Type="http://schemas.openxmlformats.org/officeDocument/2006/relationships/control" Target="../activeX/activeX52.xml"/><Relationship Id="rId114" Type="http://schemas.openxmlformats.org/officeDocument/2006/relationships/control" Target="../activeX/activeX56.xml"/><Relationship Id="rId119" Type="http://schemas.openxmlformats.org/officeDocument/2006/relationships/image" Target="../media/image58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81" Type="http://schemas.openxmlformats.org/officeDocument/2006/relationships/image" Target="../media/image39.emf"/><Relationship Id="rId86" Type="http://schemas.openxmlformats.org/officeDocument/2006/relationships/control" Target="../activeX/activeX42.xml"/><Relationship Id="rId94" Type="http://schemas.openxmlformats.org/officeDocument/2006/relationships/control" Target="../activeX/activeX46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122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109" Type="http://schemas.openxmlformats.org/officeDocument/2006/relationships/image" Target="../media/image53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04" Type="http://schemas.openxmlformats.org/officeDocument/2006/relationships/control" Target="../activeX/activeX51.xml"/><Relationship Id="rId120" Type="http://schemas.openxmlformats.org/officeDocument/2006/relationships/control" Target="../activeX/activeX59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110" Type="http://schemas.openxmlformats.org/officeDocument/2006/relationships/control" Target="../activeX/activeX54.xml"/><Relationship Id="rId115" Type="http://schemas.openxmlformats.org/officeDocument/2006/relationships/image" Target="../media/image56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control" Target="../activeX/activeX60.xml"/><Relationship Id="rId7" Type="http://schemas.openxmlformats.org/officeDocument/2006/relationships/control" Target="../activeX/activeX6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61.emf"/><Relationship Id="rId5" Type="http://schemas.openxmlformats.org/officeDocument/2006/relationships/control" Target="../activeX/activeX61.xml"/><Relationship Id="rId10" Type="http://schemas.openxmlformats.org/officeDocument/2006/relationships/image" Target="../media/image63.emf"/><Relationship Id="rId4" Type="http://schemas.openxmlformats.org/officeDocument/2006/relationships/image" Target="../media/image60.emf"/><Relationship Id="rId9" Type="http://schemas.openxmlformats.org/officeDocument/2006/relationships/control" Target="../activeX/activeX6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1"/>
  <sheetViews>
    <sheetView zoomScale="80" zoomScaleNormal="8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E3" sqref="E3:E28"/>
    </sheetView>
  </sheetViews>
  <sheetFormatPr defaultColWidth="11.15234375" defaultRowHeight="15.5"/>
  <cols>
    <col min="1" max="1" width="9.15234375" style="1" customWidth="1"/>
    <col min="2" max="2" width="19.84375" style="1" customWidth="1"/>
    <col min="3" max="3" width="32.61328125" style="1" hidden="1" customWidth="1"/>
    <col min="4" max="13" width="40.69140625" style="1" customWidth="1"/>
    <col min="14" max="16384" width="11.15234375" style="1"/>
  </cols>
  <sheetData>
    <row r="1" spans="1:13" ht="30" customHeight="1">
      <c r="A1" s="19"/>
      <c r="B1" s="19" t="s">
        <v>25</v>
      </c>
      <c r="C1" s="19" t="s">
        <v>26</v>
      </c>
      <c r="D1" s="19" t="s">
        <v>37</v>
      </c>
      <c r="E1" s="19" t="s">
        <v>89</v>
      </c>
      <c r="F1" s="19" t="s">
        <v>90</v>
      </c>
      <c r="G1" s="19" t="s">
        <v>91</v>
      </c>
      <c r="H1" s="19" t="s">
        <v>92</v>
      </c>
      <c r="I1" s="19" t="s">
        <v>85</v>
      </c>
      <c r="J1" s="19" t="s">
        <v>86</v>
      </c>
      <c r="K1" s="19" t="s">
        <v>87</v>
      </c>
      <c r="L1" s="19" t="s">
        <v>93</v>
      </c>
      <c r="M1" s="19" t="s">
        <v>88</v>
      </c>
    </row>
    <row r="2" spans="1:13" ht="20" customHeight="1">
      <c r="A2" s="37"/>
      <c r="B2" s="17" t="s">
        <v>170</v>
      </c>
      <c r="C2" s="19" t="s">
        <v>97</v>
      </c>
      <c r="D2" s="18">
        <f>COUNT(现象研究记录数目)</f>
        <v>100</v>
      </c>
      <c r="E2" s="18">
        <f>COUNT(现象研究记录数目)+1</f>
        <v>101</v>
      </c>
      <c r="F2" s="18">
        <f>COUNT(现象研究记录数目)+2</f>
        <v>102</v>
      </c>
      <c r="G2" s="18">
        <f>COUNT(现象研究记录数目)+3</f>
        <v>103</v>
      </c>
      <c r="H2" s="18">
        <f>COUNT(现象研究记录数目)+4</f>
        <v>104</v>
      </c>
      <c r="I2" s="18">
        <f>COUNT(现象研究记录数目)+5</f>
        <v>105</v>
      </c>
      <c r="J2" s="18">
        <f>COUNT(现象研究记录数目)+6</f>
        <v>106</v>
      </c>
      <c r="K2" s="18">
        <f>COUNT(现象研究记录数目)+7</f>
        <v>107</v>
      </c>
      <c r="L2" s="18">
        <f>COUNT(现象研究记录数目)+8</f>
        <v>108</v>
      </c>
      <c r="M2" s="18">
        <f>COUNT(现象研究记录数目)+9</f>
        <v>109</v>
      </c>
    </row>
    <row r="3" spans="1:13" s="2" customFormat="1" ht="40" customHeight="1">
      <c r="A3" s="41" t="s">
        <v>27</v>
      </c>
      <c r="B3" s="28" t="s">
        <v>28</v>
      </c>
      <c r="C3" s="36" t="s">
        <v>98</v>
      </c>
      <c r="D3" s="38" t="s">
        <v>309</v>
      </c>
    </row>
    <row r="4" spans="1:13" ht="20" customHeight="1">
      <c r="A4" s="41"/>
      <c r="B4" s="18" t="s">
        <v>38</v>
      </c>
      <c r="C4" s="19" t="s">
        <v>1</v>
      </c>
      <c r="D4" s="39" t="s">
        <v>310</v>
      </c>
    </row>
    <row r="5" spans="1:13" ht="32" customHeight="1">
      <c r="A5" s="41" t="s">
        <v>29</v>
      </c>
      <c r="B5" s="19" t="s">
        <v>30</v>
      </c>
      <c r="C5" s="19" t="s">
        <v>99</v>
      </c>
      <c r="D5" s="38" t="s">
        <v>96</v>
      </c>
    </row>
    <row r="6" spans="1:13" ht="20" customHeight="1">
      <c r="A6" s="41"/>
      <c r="B6" s="18" t="s">
        <v>31</v>
      </c>
      <c r="C6" s="18" t="s">
        <v>100</v>
      </c>
      <c r="D6" s="38" t="s">
        <v>312</v>
      </c>
    </row>
    <row r="7" spans="1:13" ht="20" customHeight="1">
      <c r="A7" s="41"/>
      <c r="B7" s="19" t="s">
        <v>32</v>
      </c>
      <c r="C7" s="19" t="s">
        <v>101</v>
      </c>
      <c r="D7" s="39" t="s">
        <v>9</v>
      </c>
    </row>
    <row r="8" spans="1:13" ht="20" customHeight="1">
      <c r="A8" s="41"/>
      <c r="B8" s="19" t="s">
        <v>33</v>
      </c>
      <c r="C8" s="19" t="s">
        <v>102</v>
      </c>
      <c r="D8" s="39" t="s">
        <v>321</v>
      </c>
    </row>
    <row r="9" spans="1:13" ht="20" customHeight="1">
      <c r="A9" s="43" t="s">
        <v>172</v>
      </c>
      <c r="B9" s="19" t="s">
        <v>116</v>
      </c>
      <c r="C9" s="19" t="s">
        <v>113</v>
      </c>
      <c r="D9" s="39" t="s">
        <v>132</v>
      </c>
    </row>
    <row r="10" spans="1:13" ht="20" customHeight="1">
      <c r="A10" s="43"/>
      <c r="B10" s="18" t="s">
        <v>114</v>
      </c>
      <c r="C10" s="19" t="s">
        <v>110</v>
      </c>
      <c r="D10" s="39" t="s">
        <v>136</v>
      </c>
    </row>
    <row r="11" spans="1:13" ht="20" customHeight="1">
      <c r="A11" s="43"/>
      <c r="B11" s="18" t="s">
        <v>117</v>
      </c>
      <c r="C11" s="19" t="s">
        <v>111</v>
      </c>
      <c r="D11" s="39" t="s">
        <v>306</v>
      </c>
    </row>
    <row r="12" spans="1:13" ht="20" customHeight="1">
      <c r="A12" s="43"/>
      <c r="B12" s="18" t="s">
        <v>118</v>
      </c>
      <c r="C12" s="19" t="s">
        <v>112</v>
      </c>
      <c r="D12" s="39" t="s">
        <v>177</v>
      </c>
    </row>
    <row r="13" spans="1:13" ht="34">
      <c r="A13" s="43"/>
      <c r="B13" s="28" t="s">
        <v>164</v>
      </c>
      <c r="C13" s="19" t="s">
        <v>119</v>
      </c>
      <c r="D13" s="39" t="s">
        <v>260</v>
      </c>
    </row>
    <row r="14" spans="1:13" ht="34">
      <c r="A14" s="43"/>
      <c r="B14" s="28" t="s">
        <v>165</v>
      </c>
      <c r="C14" s="17" t="s">
        <v>120</v>
      </c>
      <c r="D14" s="39" t="s">
        <v>233</v>
      </c>
    </row>
    <row r="15" spans="1:13" ht="20" customHeight="1">
      <c r="A15" s="43"/>
      <c r="B15" s="28" t="s">
        <v>166</v>
      </c>
      <c r="C15" s="17" t="s">
        <v>121</v>
      </c>
      <c r="D15" s="39" t="s">
        <v>233</v>
      </c>
    </row>
    <row r="16" spans="1:13" ht="20" customHeight="1">
      <c r="A16" s="43"/>
      <c r="B16" s="28" t="s">
        <v>167</v>
      </c>
      <c r="C16" s="17" t="s">
        <v>122</v>
      </c>
      <c r="D16" s="39" t="s">
        <v>233</v>
      </c>
    </row>
    <row r="17" spans="1:4" ht="20" customHeight="1">
      <c r="A17" s="43"/>
      <c r="B17" s="28" t="s">
        <v>182</v>
      </c>
      <c r="C17" s="17" t="s">
        <v>183</v>
      </c>
      <c r="D17" s="39" t="s">
        <v>233</v>
      </c>
    </row>
    <row r="18" spans="1:4" ht="20" customHeight="1">
      <c r="A18" s="43"/>
      <c r="B18" s="28" t="s">
        <v>168</v>
      </c>
      <c r="C18" s="17" t="s">
        <v>124</v>
      </c>
      <c r="D18" s="39" t="s">
        <v>142</v>
      </c>
    </row>
    <row r="19" spans="1:4" ht="20" customHeight="1">
      <c r="A19" s="43"/>
      <c r="B19" s="28" t="s">
        <v>171</v>
      </c>
      <c r="C19" s="17" t="s">
        <v>125</v>
      </c>
      <c r="D19" s="39" t="s">
        <v>19</v>
      </c>
    </row>
    <row r="20" spans="1:4" ht="20" customHeight="1">
      <c r="A20" s="43"/>
      <c r="B20" s="28" t="s">
        <v>169</v>
      </c>
      <c r="C20" s="17" t="s">
        <v>126</v>
      </c>
      <c r="D20" s="40" t="s">
        <v>19</v>
      </c>
    </row>
    <row r="21" spans="1:4" ht="20" customHeight="1">
      <c r="A21" s="43" t="s">
        <v>109</v>
      </c>
      <c r="B21" s="19" t="s">
        <v>127</v>
      </c>
      <c r="C21" s="19" t="s">
        <v>103</v>
      </c>
      <c r="D21" s="39" t="s">
        <v>298</v>
      </c>
    </row>
    <row r="22" spans="1:4" ht="20" customHeight="1">
      <c r="A22" s="41"/>
      <c r="B22" s="19" t="s">
        <v>128</v>
      </c>
      <c r="C22" s="19" t="s">
        <v>104</v>
      </c>
      <c r="D22" s="39" t="s">
        <v>14</v>
      </c>
    </row>
    <row r="23" spans="1:4" ht="20" customHeight="1">
      <c r="A23" s="41"/>
      <c r="B23" s="19" t="s">
        <v>189</v>
      </c>
      <c r="C23" s="19" t="s">
        <v>24</v>
      </c>
      <c r="D23" s="39" t="s">
        <v>313</v>
      </c>
    </row>
    <row r="24" spans="1:4" ht="20" customHeight="1">
      <c r="A24" s="41"/>
      <c r="B24" s="19" t="s">
        <v>129</v>
      </c>
      <c r="C24" s="19" t="s">
        <v>123</v>
      </c>
      <c r="D24" s="39" t="s">
        <v>19</v>
      </c>
    </row>
    <row r="25" spans="1:4" ht="20" customHeight="1">
      <c r="A25" s="41"/>
      <c r="B25" s="19" t="s">
        <v>130</v>
      </c>
      <c r="C25" s="19" t="s">
        <v>105</v>
      </c>
      <c r="D25" s="39" t="s">
        <v>21</v>
      </c>
    </row>
    <row r="26" spans="1:4" s="2" customFormat="1" ht="100" customHeight="1">
      <c r="A26" s="41" t="s">
        <v>34</v>
      </c>
      <c r="B26" s="28" t="s">
        <v>35</v>
      </c>
      <c r="C26" s="36" t="s">
        <v>106</v>
      </c>
      <c r="D26" s="38" t="s">
        <v>319</v>
      </c>
    </row>
    <row r="27" spans="1:4" ht="20" customHeight="1">
      <c r="A27" s="41"/>
      <c r="B27" s="19" t="s">
        <v>36</v>
      </c>
      <c r="C27" s="19" t="s">
        <v>107</v>
      </c>
      <c r="D27" s="38" t="s">
        <v>256</v>
      </c>
    </row>
    <row r="28" spans="1:4" s="27" customFormat="1" ht="20" customHeight="1">
      <c r="A28" s="41"/>
      <c r="B28" s="19" t="s">
        <v>115</v>
      </c>
      <c r="C28" s="19" t="s">
        <v>108</v>
      </c>
      <c r="D28" s="22">
        <v>43577.90702280093</v>
      </c>
    </row>
    <row r="29" spans="1:4">
      <c r="D29" s="26"/>
    </row>
    <row r="30" spans="1:4">
      <c r="B30" s="42"/>
      <c r="D30" s="42" t="str">
        <f>IF(AND(D3&lt;&gt;"",D4&lt;&gt;"",D5&lt;&gt;"",D6&lt;&gt;"",D7&lt;&gt;"",D8&lt;&gt;"",D9&lt;&gt;"",D10&lt;&gt;"",D11&lt;&gt;"",D12&lt;&gt;"",D13&lt;&gt;"",D14&lt;&gt;"",D15&lt;&gt;"",D16&lt;&gt;"",D18&lt;&gt;"",D19&lt;&gt;"",D20&lt;&gt;"",D21&lt;&gt;"",D22&lt;&gt;"",D23&lt;&gt;"",D24&lt;&gt;"",D25&lt;&gt;"",D26&lt;&gt;"",D27&lt;&gt;"",D28&lt;&gt;""),"信息填写完整","信息填写不完整")</f>
        <v>信息填写完整</v>
      </c>
    </row>
    <row r="31" spans="1:4">
      <c r="B31" s="42"/>
      <c r="D31" s="42"/>
    </row>
  </sheetData>
  <sheetProtection algorithmName="SHA-512" hashValue="a8qCXRJ5IaJHTiDY8Wa8H4YxbHSQ5ztb9ul7Zewv2oSl+pjpNVbTmO2q7w/dKrYoLQY6ruSViUgzpEWHa6O1sA==" saltValue="u1/3cmSZLhMDtRtG8HBO7g==" spinCount="100000" sheet="1" objects="1" scenarios="1" selectLockedCells="1"/>
  <mergeCells count="7">
    <mergeCell ref="A3:A4"/>
    <mergeCell ref="D30:D31"/>
    <mergeCell ref="A5:A8"/>
    <mergeCell ref="A21:A25"/>
    <mergeCell ref="B30:B31"/>
    <mergeCell ref="A9:A20"/>
    <mergeCell ref="A26:A28"/>
  </mergeCells>
  <phoneticPr fontId="1" type="noConversion"/>
  <dataValidations count="2">
    <dataValidation errorStyle="information" allowBlank="1" showInputMessage="1" showErrorMessage="1" errorTitle="非设置选项" error="是否确认手动输入信息？" sqref="D6 D23:D25" xr:uid="{00000000-0002-0000-0000-000000000000}"/>
    <dataValidation allowBlank="1" showInputMessage="1" sqref="D10:D12 D15:D17" xr:uid="{00000000-0002-0000-0000-000001000000}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61" r:id="rId4" name="CommandButtonD323">
          <controlPr defaultSize="0" autoLine="0" r:id="rId5">
            <anchor moveWithCells="1">
              <from>
                <xdr:col>3</xdr:col>
                <xdr:colOff>2235200</xdr:colOff>
                <xdr:row>31</xdr:row>
                <xdr:rowOff>38100</xdr:rowOff>
              </from>
              <to>
                <xdr:col>3</xdr:col>
                <xdr:colOff>3048000</xdr:colOff>
                <xdr:row>32</xdr:row>
                <xdr:rowOff>171450</xdr:rowOff>
              </to>
            </anchor>
          </controlPr>
        </control>
      </mc:Choice>
      <mc:Fallback>
        <control shapeId="1161" r:id="rId4" name="CommandButtonD323"/>
      </mc:Fallback>
    </mc:AlternateContent>
    <mc:AlternateContent xmlns:mc="http://schemas.openxmlformats.org/markup-compatibility/2006">
      <mc:Choice Requires="x14">
        <control shapeId="1160" r:id="rId6" name="CommandButtonD322">
          <controlPr defaultSize="0" autoLine="0" r:id="rId7">
            <anchor moveWithCells="1">
              <from>
                <xdr:col>3</xdr:col>
                <xdr:colOff>1130300</xdr:colOff>
                <xdr:row>31</xdr:row>
                <xdr:rowOff>38100</xdr:rowOff>
              </from>
              <to>
                <xdr:col>3</xdr:col>
                <xdr:colOff>2152650</xdr:colOff>
                <xdr:row>32</xdr:row>
                <xdr:rowOff>171450</xdr:rowOff>
              </to>
            </anchor>
          </controlPr>
        </control>
      </mc:Choice>
      <mc:Fallback>
        <control shapeId="1160" r:id="rId6" name="CommandButtonD322"/>
      </mc:Fallback>
    </mc:AlternateContent>
    <mc:AlternateContent xmlns:mc="http://schemas.openxmlformats.org/markup-compatibility/2006">
      <mc:Choice Requires="x14">
        <control shapeId="1159" r:id="rId8" name="CommandButtonD321">
          <controlPr defaultSize="0" autoLine="0" r:id="rId9">
            <anchor moveWithCells="1">
              <from>
                <xdr:col>3</xdr:col>
                <xdr:colOff>25400</xdr:colOff>
                <xdr:row>31</xdr:row>
                <xdr:rowOff>38100</xdr:rowOff>
              </from>
              <to>
                <xdr:col>3</xdr:col>
                <xdr:colOff>1041400</xdr:colOff>
                <xdr:row>32</xdr:row>
                <xdr:rowOff>171450</xdr:rowOff>
              </to>
            </anchor>
          </controlPr>
        </control>
      </mc:Choice>
      <mc:Fallback>
        <control shapeId="1159" r:id="rId8" name="CommandButtonD321"/>
      </mc:Fallback>
    </mc:AlternateContent>
    <mc:AlternateContent xmlns:mc="http://schemas.openxmlformats.org/markup-compatibility/2006">
      <mc:Choice Requires="x14">
        <control shapeId="1158" r:id="rId10" name="CommandButtonA26">
          <controlPr defaultSize="0" autoLine="0" autoPict="0" r:id="rId11">
            <anchor moveWithCells="1">
              <from>
                <xdr:col>0</xdr:col>
                <xdr:colOff>12700</xdr:colOff>
                <xdr:row>25</xdr:row>
                <xdr:rowOff>0</xdr:rowOff>
              </from>
              <to>
                <xdr:col>0</xdr:col>
                <xdr:colOff>698500</xdr:colOff>
                <xdr:row>27</xdr:row>
                <xdr:rowOff>0</xdr:rowOff>
              </to>
            </anchor>
          </controlPr>
        </control>
      </mc:Choice>
      <mc:Fallback>
        <control shapeId="1158" r:id="rId10" name="CommandButtonA26"/>
      </mc:Fallback>
    </mc:AlternateContent>
    <mc:AlternateContent xmlns:mc="http://schemas.openxmlformats.org/markup-compatibility/2006">
      <mc:Choice Requires="x14">
        <control shapeId="1152" r:id="rId12" name="CommandButtonA21">
          <controlPr defaultSize="0" autoLine="0" r:id="rId13">
            <anchor moveWithCells="1">
              <from>
                <xdr:col>0</xdr:col>
                <xdr:colOff>12700</xdr:colOff>
                <xdr:row>20</xdr:row>
                <xdr:rowOff>12700</xdr:rowOff>
              </from>
              <to>
                <xdr:col>0</xdr:col>
                <xdr:colOff>698500</xdr:colOff>
                <xdr:row>24</xdr:row>
                <xdr:rowOff>215900</xdr:rowOff>
              </to>
            </anchor>
          </controlPr>
        </control>
      </mc:Choice>
      <mc:Fallback>
        <control shapeId="1152" r:id="rId12" name="CommandButtonA21"/>
      </mc:Fallback>
    </mc:AlternateContent>
    <mc:AlternateContent xmlns:mc="http://schemas.openxmlformats.org/markup-compatibility/2006">
      <mc:Choice Requires="x14">
        <control shapeId="1143" r:id="rId14" name="CommandButtonA18">
          <controlPr defaultSize="0" autoLine="0" r:id="rId15">
            <anchor moveWithCells="1">
              <from>
                <xdr:col>0</xdr:col>
                <xdr:colOff>12700</xdr:colOff>
                <xdr:row>16</xdr:row>
                <xdr:rowOff>241300</xdr:rowOff>
              </from>
              <to>
                <xdr:col>0</xdr:col>
                <xdr:colOff>698500</xdr:colOff>
                <xdr:row>19</xdr:row>
                <xdr:rowOff>234950</xdr:rowOff>
              </to>
            </anchor>
          </controlPr>
        </control>
      </mc:Choice>
      <mc:Fallback>
        <control shapeId="1143" r:id="rId14" name="CommandButtonA18"/>
      </mc:Fallback>
    </mc:AlternateContent>
    <mc:AlternateContent xmlns:mc="http://schemas.openxmlformats.org/markup-compatibility/2006">
      <mc:Choice Requires="x14">
        <control shapeId="1128" r:id="rId16" name="CommandButtonA13">
          <controlPr defaultSize="0" autoLine="0" r:id="rId17">
            <anchor moveWithCells="1">
              <from>
                <xdr:col>0</xdr:col>
                <xdr:colOff>12700</xdr:colOff>
                <xdr:row>12</xdr:row>
                <xdr:rowOff>12700</xdr:rowOff>
              </from>
              <to>
                <xdr:col>0</xdr:col>
                <xdr:colOff>698500</xdr:colOff>
                <xdr:row>16</xdr:row>
                <xdr:rowOff>165100</xdr:rowOff>
              </to>
            </anchor>
          </controlPr>
        </control>
      </mc:Choice>
      <mc:Fallback>
        <control shapeId="1128" r:id="rId16" name="CommandButtonA13"/>
      </mc:Fallback>
    </mc:AlternateContent>
    <mc:AlternateContent xmlns:mc="http://schemas.openxmlformats.org/markup-compatibility/2006">
      <mc:Choice Requires="x14">
        <control shapeId="1117" r:id="rId18" name="CommandButton03">
          <controlPr defaultSize="0" autoLine="0" r:id="rId19">
            <anchor moveWithCells="1">
              <from>
                <xdr:col>1</xdr:col>
                <xdr:colOff>762000</xdr:colOff>
                <xdr:row>31</xdr:row>
                <xdr:rowOff>38100</xdr:rowOff>
              </from>
              <to>
                <xdr:col>1</xdr:col>
                <xdr:colOff>1479550</xdr:colOff>
                <xdr:row>32</xdr:row>
                <xdr:rowOff>171450</xdr:rowOff>
              </to>
            </anchor>
          </controlPr>
        </control>
      </mc:Choice>
      <mc:Fallback>
        <control shapeId="1117" r:id="rId18" name="CommandButton03"/>
      </mc:Fallback>
    </mc:AlternateContent>
    <mc:AlternateContent xmlns:mc="http://schemas.openxmlformats.org/markup-compatibility/2006">
      <mc:Choice Requires="x14">
        <control shapeId="1116" r:id="rId20" name="CommandButton02">
          <controlPr defaultSize="0" autoLine="0" r:id="rId21">
            <anchor moveWithCells="1">
              <from>
                <xdr:col>1</xdr:col>
                <xdr:colOff>38100</xdr:colOff>
                <xdr:row>31</xdr:row>
                <xdr:rowOff>38100</xdr:rowOff>
              </from>
              <to>
                <xdr:col>1</xdr:col>
                <xdr:colOff>749300</xdr:colOff>
                <xdr:row>32</xdr:row>
                <xdr:rowOff>171450</xdr:rowOff>
              </to>
            </anchor>
          </controlPr>
        </control>
      </mc:Choice>
      <mc:Fallback>
        <control shapeId="1116" r:id="rId20" name="CommandButton02"/>
      </mc:Fallback>
    </mc:AlternateContent>
    <mc:AlternateContent xmlns:mc="http://schemas.openxmlformats.org/markup-compatibility/2006">
      <mc:Choice Requires="x14">
        <control shapeId="1115" r:id="rId22" name="ToggleButton92">
          <controlPr defaultSize="0" disabled="1" autoLine="0" r:id="rId23">
            <anchor moveWithCells="1">
              <from>
                <xdr:col>12</xdr:col>
                <xdr:colOff>1060450</xdr:colOff>
                <xdr:row>31</xdr:row>
                <xdr:rowOff>31750</xdr:rowOff>
              </from>
              <to>
                <xdr:col>12</xdr:col>
                <xdr:colOff>2063750</xdr:colOff>
                <xdr:row>32</xdr:row>
                <xdr:rowOff>190500</xdr:rowOff>
              </to>
            </anchor>
          </controlPr>
        </control>
      </mc:Choice>
      <mc:Fallback>
        <control shapeId="1115" r:id="rId22" name="ToggleButton92"/>
      </mc:Fallback>
    </mc:AlternateContent>
    <mc:AlternateContent xmlns:mc="http://schemas.openxmlformats.org/markup-compatibility/2006">
      <mc:Choice Requires="x14">
        <control shapeId="1114" r:id="rId24" name="ToggleButton91">
          <controlPr defaultSize="0" disabled="1" autoLine="0" r:id="rId25">
            <anchor moveWithCells="1">
              <from>
                <xdr:col>12</xdr:col>
                <xdr:colOff>38100</xdr:colOff>
                <xdr:row>31</xdr:row>
                <xdr:rowOff>31750</xdr:rowOff>
              </from>
              <to>
                <xdr:col>12</xdr:col>
                <xdr:colOff>1041400</xdr:colOff>
                <xdr:row>32</xdr:row>
                <xdr:rowOff>190500</xdr:rowOff>
              </to>
            </anchor>
          </controlPr>
        </control>
      </mc:Choice>
      <mc:Fallback>
        <control shapeId="1114" r:id="rId24" name="ToggleButton91"/>
      </mc:Fallback>
    </mc:AlternateContent>
    <mc:AlternateContent xmlns:mc="http://schemas.openxmlformats.org/markup-compatibility/2006">
      <mc:Choice Requires="x14">
        <control shapeId="1113" r:id="rId26" name="CommandButton93">
          <controlPr defaultSize="0" disabled="1" autoLine="0" r:id="rId27">
            <anchor moveWithCells="1">
              <from>
                <xdr:col>12</xdr:col>
                <xdr:colOff>2082800</xdr:colOff>
                <xdr:row>29</xdr:row>
                <xdr:rowOff>12700</xdr:rowOff>
              </from>
              <to>
                <xdr:col>12</xdr:col>
                <xdr:colOff>3086100</xdr:colOff>
                <xdr:row>30</xdr:row>
                <xdr:rowOff>171450</xdr:rowOff>
              </to>
            </anchor>
          </controlPr>
        </control>
      </mc:Choice>
      <mc:Fallback>
        <control shapeId="1113" r:id="rId26" name="CommandButton93"/>
      </mc:Fallback>
    </mc:AlternateContent>
    <mc:AlternateContent xmlns:mc="http://schemas.openxmlformats.org/markup-compatibility/2006">
      <mc:Choice Requires="x14">
        <control shapeId="1112" r:id="rId28" name="CommandButton92">
          <controlPr defaultSize="0" disabled="1" autoLine="0" r:id="rId29">
            <anchor moveWithCells="1">
              <from>
                <xdr:col>12</xdr:col>
                <xdr:colOff>1060450</xdr:colOff>
                <xdr:row>29</xdr:row>
                <xdr:rowOff>12700</xdr:rowOff>
              </from>
              <to>
                <xdr:col>12</xdr:col>
                <xdr:colOff>2063750</xdr:colOff>
                <xdr:row>30</xdr:row>
                <xdr:rowOff>171450</xdr:rowOff>
              </to>
            </anchor>
          </controlPr>
        </control>
      </mc:Choice>
      <mc:Fallback>
        <control shapeId="1112" r:id="rId28" name="CommandButton92"/>
      </mc:Fallback>
    </mc:AlternateContent>
    <mc:AlternateContent xmlns:mc="http://schemas.openxmlformats.org/markup-compatibility/2006">
      <mc:Choice Requires="x14">
        <control shapeId="1111" r:id="rId30" name="CommandButton91">
          <controlPr defaultSize="0" disabled="1" autoLine="0" r:id="rId31">
            <anchor moveWithCells="1">
              <from>
                <xdr:col>12</xdr:col>
                <xdr:colOff>31750</xdr:colOff>
                <xdr:row>29</xdr:row>
                <xdr:rowOff>12700</xdr:rowOff>
              </from>
              <to>
                <xdr:col>12</xdr:col>
                <xdr:colOff>1035050</xdr:colOff>
                <xdr:row>30</xdr:row>
                <xdr:rowOff>171450</xdr:rowOff>
              </to>
            </anchor>
          </controlPr>
        </control>
      </mc:Choice>
      <mc:Fallback>
        <control shapeId="1111" r:id="rId30" name="CommandButton91"/>
      </mc:Fallback>
    </mc:AlternateContent>
    <mc:AlternateContent xmlns:mc="http://schemas.openxmlformats.org/markup-compatibility/2006">
      <mc:Choice Requires="x14">
        <control shapeId="1110" r:id="rId32" name="ToggleButton82">
          <controlPr defaultSize="0" disabled="1" autoLine="0" r:id="rId33">
            <anchor moveWithCells="1">
              <from>
                <xdr:col>11</xdr:col>
                <xdr:colOff>1066800</xdr:colOff>
                <xdr:row>31</xdr:row>
                <xdr:rowOff>31750</xdr:rowOff>
              </from>
              <to>
                <xdr:col>11</xdr:col>
                <xdr:colOff>2070100</xdr:colOff>
                <xdr:row>32</xdr:row>
                <xdr:rowOff>190500</xdr:rowOff>
              </to>
            </anchor>
          </controlPr>
        </control>
      </mc:Choice>
      <mc:Fallback>
        <control shapeId="1110" r:id="rId32" name="ToggleButton82"/>
      </mc:Fallback>
    </mc:AlternateContent>
    <mc:AlternateContent xmlns:mc="http://schemas.openxmlformats.org/markup-compatibility/2006">
      <mc:Choice Requires="x14">
        <control shapeId="1109" r:id="rId34" name="ToggleButton81">
          <controlPr defaultSize="0" disabled="1" autoLine="0" r:id="rId35">
            <anchor moveWithCells="1">
              <from>
                <xdr:col>11</xdr:col>
                <xdr:colOff>38100</xdr:colOff>
                <xdr:row>31</xdr:row>
                <xdr:rowOff>31750</xdr:rowOff>
              </from>
              <to>
                <xdr:col>11</xdr:col>
                <xdr:colOff>1041400</xdr:colOff>
                <xdr:row>32</xdr:row>
                <xdr:rowOff>190500</xdr:rowOff>
              </to>
            </anchor>
          </controlPr>
        </control>
      </mc:Choice>
      <mc:Fallback>
        <control shapeId="1109" r:id="rId34" name="ToggleButton81"/>
      </mc:Fallback>
    </mc:AlternateContent>
    <mc:AlternateContent xmlns:mc="http://schemas.openxmlformats.org/markup-compatibility/2006">
      <mc:Choice Requires="x14">
        <control shapeId="1108" r:id="rId36" name="CommandButton83">
          <controlPr defaultSize="0" disabled="1" autoLine="0" r:id="rId37">
            <anchor moveWithCells="1">
              <from>
                <xdr:col>11</xdr:col>
                <xdr:colOff>2089150</xdr:colOff>
                <xdr:row>29</xdr:row>
                <xdr:rowOff>12700</xdr:rowOff>
              </from>
              <to>
                <xdr:col>11</xdr:col>
                <xdr:colOff>3092450</xdr:colOff>
                <xdr:row>30</xdr:row>
                <xdr:rowOff>171450</xdr:rowOff>
              </to>
            </anchor>
          </controlPr>
        </control>
      </mc:Choice>
      <mc:Fallback>
        <control shapeId="1108" r:id="rId36" name="CommandButton83"/>
      </mc:Fallback>
    </mc:AlternateContent>
    <mc:AlternateContent xmlns:mc="http://schemas.openxmlformats.org/markup-compatibility/2006">
      <mc:Choice Requires="x14">
        <control shapeId="1107" r:id="rId38" name="CommandButton82">
          <controlPr defaultSize="0" disabled="1" autoLine="0" r:id="rId39">
            <anchor moveWithCells="1">
              <from>
                <xdr:col>11</xdr:col>
                <xdr:colOff>1066800</xdr:colOff>
                <xdr:row>29</xdr:row>
                <xdr:rowOff>12700</xdr:rowOff>
              </from>
              <to>
                <xdr:col>11</xdr:col>
                <xdr:colOff>2070100</xdr:colOff>
                <xdr:row>30</xdr:row>
                <xdr:rowOff>171450</xdr:rowOff>
              </to>
            </anchor>
          </controlPr>
        </control>
      </mc:Choice>
      <mc:Fallback>
        <control shapeId="1107" r:id="rId38" name="CommandButton82"/>
      </mc:Fallback>
    </mc:AlternateContent>
    <mc:AlternateContent xmlns:mc="http://schemas.openxmlformats.org/markup-compatibility/2006">
      <mc:Choice Requires="x14">
        <control shapeId="1106" r:id="rId40" name="CommandButton81">
          <controlPr defaultSize="0" disabled="1" autoLine="0" r:id="rId41">
            <anchor moveWithCells="1">
              <from>
                <xdr:col>11</xdr:col>
                <xdr:colOff>31750</xdr:colOff>
                <xdr:row>29</xdr:row>
                <xdr:rowOff>12700</xdr:rowOff>
              </from>
              <to>
                <xdr:col>11</xdr:col>
                <xdr:colOff>1035050</xdr:colOff>
                <xdr:row>30</xdr:row>
                <xdr:rowOff>171450</xdr:rowOff>
              </to>
            </anchor>
          </controlPr>
        </control>
      </mc:Choice>
      <mc:Fallback>
        <control shapeId="1106" r:id="rId40" name="CommandButton81"/>
      </mc:Fallback>
    </mc:AlternateContent>
    <mc:AlternateContent xmlns:mc="http://schemas.openxmlformats.org/markup-compatibility/2006">
      <mc:Choice Requires="x14">
        <control shapeId="1105" r:id="rId42" name="ToggleButton72">
          <controlPr defaultSize="0" disabled="1" autoLine="0" r:id="rId43">
            <anchor moveWithCells="1">
              <from>
                <xdr:col>10</xdr:col>
                <xdr:colOff>1066800</xdr:colOff>
                <xdr:row>31</xdr:row>
                <xdr:rowOff>31750</xdr:rowOff>
              </from>
              <to>
                <xdr:col>10</xdr:col>
                <xdr:colOff>2070100</xdr:colOff>
                <xdr:row>32</xdr:row>
                <xdr:rowOff>190500</xdr:rowOff>
              </to>
            </anchor>
          </controlPr>
        </control>
      </mc:Choice>
      <mc:Fallback>
        <control shapeId="1105" r:id="rId42" name="ToggleButton72"/>
      </mc:Fallback>
    </mc:AlternateContent>
    <mc:AlternateContent xmlns:mc="http://schemas.openxmlformats.org/markup-compatibility/2006">
      <mc:Choice Requires="x14">
        <control shapeId="1104" r:id="rId44" name="ToggleButton71">
          <controlPr defaultSize="0" disabled="1" autoLine="0" r:id="rId45">
            <anchor moveWithCells="1">
              <from>
                <xdr:col>10</xdr:col>
                <xdr:colOff>38100</xdr:colOff>
                <xdr:row>31</xdr:row>
                <xdr:rowOff>31750</xdr:rowOff>
              </from>
              <to>
                <xdr:col>10</xdr:col>
                <xdr:colOff>1041400</xdr:colOff>
                <xdr:row>32</xdr:row>
                <xdr:rowOff>190500</xdr:rowOff>
              </to>
            </anchor>
          </controlPr>
        </control>
      </mc:Choice>
      <mc:Fallback>
        <control shapeId="1104" r:id="rId44" name="ToggleButton71"/>
      </mc:Fallback>
    </mc:AlternateContent>
    <mc:AlternateContent xmlns:mc="http://schemas.openxmlformats.org/markup-compatibility/2006">
      <mc:Choice Requires="x14">
        <control shapeId="1103" r:id="rId46" name="CommandButton73">
          <controlPr defaultSize="0" disabled="1" autoLine="0" r:id="rId47">
            <anchor moveWithCells="1">
              <from>
                <xdr:col>10</xdr:col>
                <xdr:colOff>2070100</xdr:colOff>
                <xdr:row>29</xdr:row>
                <xdr:rowOff>12700</xdr:rowOff>
              </from>
              <to>
                <xdr:col>10</xdr:col>
                <xdr:colOff>3073400</xdr:colOff>
                <xdr:row>30</xdr:row>
                <xdr:rowOff>171450</xdr:rowOff>
              </to>
            </anchor>
          </controlPr>
        </control>
      </mc:Choice>
      <mc:Fallback>
        <control shapeId="1103" r:id="rId46" name="CommandButton73"/>
      </mc:Fallback>
    </mc:AlternateContent>
    <mc:AlternateContent xmlns:mc="http://schemas.openxmlformats.org/markup-compatibility/2006">
      <mc:Choice Requires="x14">
        <control shapeId="1102" r:id="rId48" name="CommandButton72">
          <controlPr defaultSize="0" disabled="1" autoLine="0" r:id="rId49">
            <anchor moveWithCells="1">
              <from>
                <xdr:col>10</xdr:col>
                <xdr:colOff>1041400</xdr:colOff>
                <xdr:row>29</xdr:row>
                <xdr:rowOff>12700</xdr:rowOff>
              </from>
              <to>
                <xdr:col>10</xdr:col>
                <xdr:colOff>2044700</xdr:colOff>
                <xdr:row>30</xdr:row>
                <xdr:rowOff>171450</xdr:rowOff>
              </to>
            </anchor>
          </controlPr>
        </control>
      </mc:Choice>
      <mc:Fallback>
        <control shapeId="1102" r:id="rId48" name="CommandButton72"/>
      </mc:Fallback>
    </mc:AlternateContent>
    <mc:AlternateContent xmlns:mc="http://schemas.openxmlformats.org/markup-compatibility/2006">
      <mc:Choice Requires="x14">
        <control shapeId="1101" r:id="rId50" name="CommandButton71">
          <controlPr defaultSize="0" disabled="1" autoLine="0" r:id="rId51">
            <anchor moveWithCells="1">
              <from>
                <xdr:col>10</xdr:col>
                <xdr:colOff>25400</xdr:colOff>
                <xdr:row>29</xdr:row>
                <xdr:rowOff>12700</xdr:rowOff>
              </from>
              <to>
                <xdr:col>10</xdr:col>
                <xdr:colOff>1028700</xdr:colOff>
                <xdr:row>30</xdr:row>
                <xdr:rowOff>171450</xdr:rowOff>
              </to>
            </anchor>
          </controlPr>
        </control>
      </mc:Choice>
      <mc:Fallback>
        <control shapeId="1101" r:id="rId50" name="CommandButton71"/>
      </mc:Fallback>
    </mc:AlternateContent>
    <mc:AlternateContent xmlns:mc="http://schemas.openxmlformats.org/markup-compatibility/2006">
      <mc:Choice Requires="x14">
        <control shapeId="1100" r:id="rId52" name="CommandButton63">
          <controlPr defaultSize="0" disabled="1" autoLine="0" r:id="rId53">
            <anchor moveWithCells="1">
              <from>
                <xdr:col>9</xdr:col>
                <xdr:colOff>2082800</xdr:colOff>
                <xdr:row>29</xdr:row>
                <xdr:rowOff>12700</xdr:rowOff>
              </from>
              <to>
                <xdr:col>9</xdr:col>
                <xdr:colOff>3086100</xdr:colOff>
                <xdr:row>30</xdr:row>
                <xdr:rowOff>171450</xdr:rowOff>
              </to>
            </anchor>
          </controlPr>
        </control>
      </mc:Choice>
      <mc:Fallback>
        <control shapeId="1100" r:id="rId52" name="CommandButton63"/>
      </mc:Fallback>
    </mc:AlternateContent>
    <mc:AlternateContent xmlns:mc="http://schemas.openxmlformats.org/markup-compatibility/2006">
      <mc:Choice Requires="x14">
        <control shapeId="1099" r:id="rId54" name="ToggleButton62">
          <controlPr defaultSize="0" disabled="1" autoLine="0" r:id="rId55">
            <anchor moveWithCells="1">
              <from>
                <xdr:col>9</xdr:col>
                <xdr:colOff>1054100</xdr:colOff>
                <xdr:row>31</xdr:row>
                <xdr:rowOff>31750</xdr:rowOff>
              </from>
              <to>
                <xdr:col>9</xdr:col>
                <xdr:colOff>2057400</xdr:colOff>
                <xdr:row>32</xdr:row>
                <xdr:rowOff>190500</xdr:rowOff>
              </to>
            </anchor>
          </controlPr>
        </control>
      </mc:Choice>
      <mc:Fallback>
        <control shapeId="1099" r:id="rId54" name="ToggleButton62"/>
      </mc:Fallback>
    </mc:AlternateContent>
    <mc:AlternateContent xmlns:mc="http://schemas.openxmlformats.org/markup-compatibility/2006">
      <mc:Choice Requires="x14">
        <control shapeId="1098" r:id="rId56" name="ToggleButton61">
          <controlPr defaultSize="0" disabled="1" autoLine="0" r:id="rId57">
            <anchor moveWithCells="1">
              <from>
                <xdr:col>9</xdr:col>
                <xdr:colOff>38100</xdr:colOff>
                <xdr:row>31</xdr:row>
                <xdr:rowOff>31750</xdr:rowOff>
              </from>
              <to>
                <xdr:col>9</xdr:col>
                <xdr:colOff>1041400</xdr:colOff>
                <xdr:row>32</xdr:row>
                <xdr:rowOff>190500</xdr:rowOff>
              </to>
            </anchor>
          </controlPr>
        </control>
      </mc:Choice>
      <mc:Fallback>
        <control shapeId="1098" r:id="rId56" name="ToggleButton61"/>
      </mc:Fallback>
    </mc:AlternateContent>
    <mc:AlternateContent xmlns:mc="http://schemas.openxmlformats.org/markup-compatibility/2006">
      <mc:Choice Requires="x14">
        <control shapeId="1097" r:id="rId58" name="CommandButton62">
          <controlPr defaultSize="0" disabled="1" autoLine="0" r:id="rId59">
            <anchor moveWithCells="1">
              <from>
                <xdr:col>9</xdr:col>
                <xdr:colOff>1060450</xdr:colOff>
                <xdr:row>29</xdr:row>
                <xdr:rowOff>12700</xdr:rowOff>
              </from>
              <to>
                <xdr:col>9</xdr:col>
                <xdr:colOff>2063750</xdr:colOff>
                <xdr:row>30</xdr:row>
                <xdr:rowOff>171450</xdr:rowOff>
              </to>
            </anchor>
          </controlPr>
        </control>
      </mc:Choice>
      <mc:Fallback>
        <control shapeId="1097" r:id="rId58" name="CommandButton62"/>
      </mc:Fallback>
    </mc:AlternateContent>
    <mc:AlternateContent xmlns:mc="http://schemas.openxmlformats.org/markup-compatibility/2006">
      <mc:Choice Requires="x14">
        <control shapeId="1096" r:id="rId60" name="CommandButton61">
          <controlPr defaultSize="0" disabled="1" autoLine="0" r:id="rId61">
            <anchor moveWithCells="1">
              <from>
                <xdr:col>9</xdr:col>
                <xdr:colOff>31750</xdr:colOff>
                <xdr:row>29</xdr:row>
                <xdr:rowOff>12700</xdr:rowOff>
              </from>
              <to>
                <xdr:col>9</xdr:col>
                <xdr:colOff>1035050</xdr:colOff>
                <xdr:row>30</xdr:row>
                <xdr:rowOff>171450</xdr:rowOff>
              </to>
            </anchor>
          </controlPr>
        </control>
      </mc:Choice>
      <mc:Fallback>
        <control shapeId="1096" r:id="rId60" name="CommandButton61"/>
      </mc:Fallback>
    </mc:AlternateContent>
    <mc:AlternateContent xmlns:mc="http://schemas.openxmlformats.org/markup-compatibility/2006">
      <mc:Choice Requires="x14">
        <control shapeId="1095" r:id="rId62" name="ToggleButton52">
          <controlPr defaultSize="0" disabled="1" autoLine="0" r:id="rId63">
            <anchor moveWithCells="1">
              <from>
                <xdr:col>8</xdr:col>
                <xdr:colOff>1066800</xdr:colOff>
                <xdr:row>31</xdr:row>
                <xdr:rowOff>31750</xdr:rowOff>
              </from>
              <to>
                <xdr:col>8</xdr:col>
                <xdr:colOff>2070100</xdr:colOff>
                <xdr:row>32</xdr:row>
                <xdr:rowOff>190500</xdr:rowOff>
              </to>
            </anchor>
          </controlPr>
        </control>
      </mc:Choice>
      <mc:Fallback>
        <control shapeId="1095" r:id="rId62" name="ToggleButton52"/>
      </mc:Fallback>
    </mc:AlternateContent>
    <mc:AlternateContent xmlns:mc="http://schemas.openxmlformats.org/markup-compatibility/2006">
      <mc:Choice Requires="x14">
        <control shapeId="1094" r:id="rId64" name="ToggleButton51">
          <controlPr defaultSize="0" disabled="1" autoLine="0" r:id="rId65">
            <anchor moveWithCells="1">
              <from>
                <xdr:col>8</xdr:col>
                <xdr:colOff>38100</xdr:colOff>
                <xdr:row>31</xdr:row>
                <xdr:rowOff>31750</xdr:rowOff>
              </from>
              <to>
                <xdr:col>8</xdr:col>
                <xdr:colOff>1041400</xdr:colOff>
                <xdr:row>32</xdr:row>
                <xdr:rowOff>190500</xdr:rowOff>
              </to>
            </anchor>
          </controlPr>
        </control>
      </mc:Choice>
      <mc:Fallback>
        <control shapeId="1094" r:id="rId64" name="ToggleButton51"/>
      </mc:Fallback>
    </mc:AlternateContent>
    <mc:AlternateContent xmlns:mc="http://schemas.openxmlformats.org/markup-compatibility/2006">
      <mc:Choice Requires="x14">
        <control shapeId="1093" r:id="rId66" name="CommandButton53">
          <controlPr defaultSize="0" disabled="1" autoLine="0" r:id="rId67">
            <anchor moveWithCells="1">
              <from>
                <xdr:col>8</xdr:col>
                <xdr:colOff>2089150</xdr:colOff>
                <xdr:row>29</xdr:row>
                <xdr:rowOff>12700</xdr:rowOff>
              </from>
              <to>
                <xdr:col>8</xdr:col>
                <xdr:colOff>3092450</xdr:colOff>
                <xdr:row>30</xdr:row>
                <xdr:rowOff>171450</xdr:rowOff>
              </to>
            </anchor>
          </controlPr>
        </control>
      </mc:Choice>
      <mc:Fallback>
        <control shapeId="1093" r:id="rId66" name="CommandButton53"/>
      </mc:Fallback>
    </mc:AlternateContent>
    <mc:AlternateContent xmlns:mc="http://schemas.openxmlformats.org/markup-compatibility/2006">
      <mc:Choice Requires="x14">
        <control shapeId="1092" r:id="rId68" name="CommandButton52">
          <controlPr defaultSize="0" disabled="1" autoLine="0" r:id="rId69">
            <anchor moveWithCells="1">
              <from>
                <xdr:col>8</xdr:col>
                <xdr:colOff>1060450</xdr:colOff>
                <xdr:row>29</xdr:row>
                <xdr:rowOff>12700</xdr:rowOff>
              </from>
              <to>
                <xdr:col>8</xdr:col>
                <xdr:colOff>2063750</xdr:colOff>
                <xdr:row>30</xdr:row>
                <xdr:rowOff>171450</xdr:rowOff>
              </to>
            </anchor>
          </controlPr>
        </control>
      </mc:Choice>
      <mc:Fallback>
        <control shapeId="1092" r:id="rId68" name="CommandButton52"/>
      </mc:Fallback>
    </mc:AlternateContent>
    <mc:AlternateContent xmlns:mc="http://schemas.openxmlformats.org/markup-compatibility/2006">
      <mc:Choice Requires="x14">
        <control shapeId="1091" r:id="rId70" name="CommandButton51">
          <controlPr defaultSize="0" disabled="1" autoLine="0" r:id="rId71">
            <anchor moveWithCells="1">
              <from>
                <xdr:col>8</xdr:col>
                <xdr:colOff>31750</xdr:colOff>
                <xdr:row>29</xdr:row>
                <xdr:rowOff>12700</xdr:rowOff>
              </from>
              <to>
                <xdr:col>8</xdr:col>
                <xdr:colOff>1035050</xdr:colOff>
                <xdr:row>30</xdr:row>
                <xdr:rowOff>171450</xdr:rowOff>
              </to>
            </anchor>
          </controlPr>
        </control>
      </mc:Choice>
      <mc:Fallback>
        <control shapeId="1091" r:id="rId70" name="CommandButton51"/>
      </mc:Fallback>
    </mc:AlternateContent>
    <mc:AlternateContent xmlns:mc="http://schemas.openxmlformats.org/markup-compatibility/2006">
      <mc:Choice Requires="x14">
        <control shapeId="1090" r:id="rId72" name="ToggleButton42">
          <controlPr defaultSize="0" disabled="1" autoLine="0" r:id="rId73">
            <anchor moveWithCells="1">
              <from>
                <xdr:col>7</xdr:col>
                <xdr:colOff>1028700</xdr:colOff>
                <xdr:row>31</xdr:row>
                <xdr:rowOff>31750</xdr:rowOff>
              </from>
              <to>
                <xdr:col>7</xdr:col>
                <xdr:colOff>2032000</xdr:colOff>
                <xdr:row>32</xdr:row>
                <xdr:rowOff>190500</xdr:rowOff>
              </to>
            </anchor>
          </controlPr>
        </control>
      </mc:Choice>
      <mc:Fallback>
        <control shapeId="1090" r:id="rId72" name="ToggleButton42"/>
      </mc:Fallback>
    </mc:AlternateContent>
    <mc:AlternateContent xmlns:mc="http://schemas.openxmlformats.org/markup-compatibility/2006">
      <mc:Choice Requires="x14">
        <control shapeId="1089" r:id="rId74" name="ToggleButton41">
          <controlPr defaultSize="0" disabled="1" autoLine="0" r:id="rId75">
            <anchor moveWithCells="1">
              <from>
                <xdr:col>7</xdr:col>
                <xdr:colOff>25400</xdr:colOff>
                <xdr:row>31</xdr:row>
                <xdr:rowOff>31750</xdr:rowOff>
              </from>
              <to>
                <xdr:col>7</xdr:col>
                <xdr:colOff>1028700</xdr:colOff>
                <xdr:row>32</xdr:row>
                <xdr:rowOff>190500</xdr:rowOff>
              </to>
            </anchor>
          </controlPr>
        </control>
      </mc:Choice>
      <mc:Fallback>
        <control shapeId="1089" r:id="rId74" name="ToggleButton41"/>
      </mc:Fallback>
    </mc:AlternateContent>
    <mc:AlternateContent xmlns:mc="http://schemas.openxmlformats.org/markup-compatibility/2006">
      <mc:Choice Requires="x14">
        <control shapeId="1088" r:id="rId76" name="CommandButton43">
          <controlPr defaultSize="0" disabled="1" autoLine="0" r:id="rId77">
            <anchor moveWithCells="1">
              <from>
                <xdr:col>7</xdr:col>
                <xdr:colOff>2057400</xdr:colOff>
                <xdr:row>29</xdr:row>
                <xdr:rowOff>12700</xdr:rowOff>
              </from>
              <to>
                <xdr:col>7</xdr:col>
                <xdr:colOff>3060700</xdr:colOff>
                <xdr:row>30</xdr:row>
                <xdr:rowOff>171450</xdr:rowOff>
              </to>
            </anchor>
          </controlPr>
        </control>
      </mc:Choice>
      <mc:Fallback>
        <control shapeId="1088" r:id="rId76" name="CommandButton43"/>
      </mc:Fallback>
    </mc:AlternateContent>
    <mc:AlternateContent xmlns:mc="http://schemas.openxmlformats.org/markup-compatibility/2006">
      <mc:Choice Requires="x14">
        <control shapeId="1087" r:id="rId78" name="CommandButton42">
          <controlPr defaultSize="0" disabled="1" autoLine="0" r:id="rId79">
            <anchor moveWithCells="1">
              <from>
                <xdr:col>7</xdr:col>
                <xdr:colOff>1028700</xdr:colOff>
                <xdr:row>29</xdr:row>
                <xdr:rowOff>12700</xdr:rowOff>
              </from>
              <to>
                <xdr:col>7</xdr:col>
                <xdr:colOff>2032000</xdr:colOff>
                <xdr:row>30</xdr:row>
                <xdr:rowOff>171450</xdr:rowOff>
              </to>
            </anchor>
          </controlPr>
        </control>
      </mc:Choice>
      <mc:Fallback>
        <control shapeId="1087" r:id="rId78" name="CommandButton42"/>
      </mc:Fallback>
    </mc:AlternateContent>
    <mc:AlternateContent xmlns:mc="http://schemas.openxmlformats.org/markup-compatibility/2006">
      <mc:Choice Requires="x14">
        <control shapeId="1086" r:id="rId80" name="CommandButton41">
          <controlPr defaultSize="0" disabled="1" autoLine="0" r:id="rId81">
            <anchor moveWithCells="1">
              <from>
                <xdr:col>7</xdr:col>
                <xdr:colOff>12700</xdr:colOff>
                <xdr:row>29</xdr:row>
                <xdr:rowOff>12700</xdr:rowOff>
              </from>
              <to>
                <xdr:col>7</xdr:col>
                <xdr:colOff>1016000</xdr:colOff>
                <xdr:row>30</xdr:row>
                <xdr:rowOff>171450</xdr:rowOff>
              </to>
            </anchor>
          </controlPr>
        </control>
      </mc:Choice>
      <mc:Fallback>
        <control shapeId="1086" r:id="rId80" name="CommandButton41"/>
      </mc:Fallback>
    </mc:AlternateContent>
    <mc:AlternateContent xmlns:mc="http://schemas.openxmlformats.org/markup-compatibility/2006">
      <mc:Choice Requires="x14">
        <control shapeId="1085" r:id="rId82" name="ToggleButton32">
          <controlPr defaultSize="0" disabled="1" autoLine="0" r:id="rId83">
            <anchor moveWithCells="1">
              <from>
                <xdr:col>6</xdr:col>
                <xdr:colOff>1054100</xdr:colOff>
                <xdr:row>31</xdr:row>
                <xdr:rowOff>31750</xdr:rowOff>
              </from>
              <to>
                <xdr:col>6</xdr:col>
                <xdr:colOff>2057400</xdr:colOff>
                <xdr:row>32</xdr:row>
                <xdr:rowOff>190500</xdr:rowOff>
              </to>
            </anchor>
          </controlPr>
        </control>
      </mc:Choice>
      <mc:Fallback>
        <control shapeId="1085" r:id="rId82" name="ToggleButton32"/>
      </mc:Fallback>
    </mc:AlternateContent>
    <mc:AlternateContent xmlns:mc="http://schemas.openxmlformats.org/markup-compatibility/2006">
      <mc:Choice Requires="x14">
        <control shapeId="1084" r:id="rId84" name="ToggleButton31">
          <controlPr defaultSize="0" disabled="1" autoLine="0" r:id="rId85">
            <anchor moveWithCells="1">
              <from>
                <xdr:col>6</xdr:col>
                <xdr:colOff>31750</xdr:colOff>
                <xdr:row>31</xdr:row>
                <xdr:rowOff>31750</xdr:rowOff>
              </from>
              <to>
                <xdr:col>6</xdr:col>
                <xdr:colOff>1035050</xdr:colOff>
                <xdr:row>32</xdr:row>
                <xdr:rowOff>190500</xdr:rowOff>
              </to>
            </anchor>
          </controlPr>
        </control>
      </mc:Choice>
      <mc:Fallback>
        <control shapeId="1084" r:id="rId84" name="ToggleButton31"/>
      </mc:Fallback>
    </mc:AlternateContent>
    <mc:AlternateContent xmlns:mc="http://schemas.openxmlformats.org/markup-compatibility/2006">
      <mc:Choice Requires="x14">
        <control shapeId="1083" r:id="rId86" name="CommandButton33">
          <controlPr defaultSize="0" disabled="1" autoLine="0" r:id="rId87">
            <anchor moveWithCells="1">
              <from>
                <xdr:col>6</xdr:col>
                <xdr:colOff>2089150</xdr:colOff>
                <xdr:row>29</xdr:row>
                <xdr:rowOff>12700</xdr:rowOff>
              </from>
              <to>
                <xdr:col>6</xdr:col>
                <xdr:colOff>3092450</xdr:colOff>
                <xdr:row>30</xdr:row>
                <xdr:rowOff>171450</xdr:rowOff>
              </to>
            </anchor>
          </controlPr>
        </control>
      </mc:Choice>
      <mc:Fallback>
        <control shapeId="1083" r:id="rId86" name="CommandButton33"/>
      </mc:Fallback>
    </mc:AlternateContent>
    <mc:AlternateContent xmlns:mc="http://schemas.openxmlformats.org/markup-compatibility/2006">
      <mc:Choice Requires="x14">
        <control shapeId="1082" r:id="rId88" name="CommandButton32">
          <controlPr defaultSize="0" disabled="1" autoLine="0" r:id="rId89">
            <anchor moveWithCells="1">
              <from>
                <xdr:col>6</xdr:col>
                <xdr:colOff>1066800</xdr:colOff>
                <xdr:row>29</xdr:row>
                <xdr:rowOff>12700</xdr:rowOff>
              </from>
              <to>
                <xdr:col>6</xdr:col>
                <xdr:colOff>2070100</xdr:colOff>
                <xdr:row>30</xdr:row>
                <xdr:rowOff>171450</xdr:rowOff>
              </to>
            </anchor>
          </controlPr>
        </control>
      </mc:Choice>
      <mc:Fallback>
        <control shapeId="1082" r:id="rId88" name="CommandButton32"/>
      </mc:Fallback>
    </mc:AlternateContent>
    <mc:AlternateContent xmlns:mc="http://schemas.openxmlformats.org/markup-compatibility/2006">
      <mc:Choice Requires="x14">
        <control shapeId="1081" r:id="rId90" name="CommandButton31">
          <controlPr defaultSize="0" disabled="1" autoLine="0" r:id="rId91">
            <anchor moveWithCells="1">
              <from>
                <xdr:col>6</xdr:col>
                <xdr:colOff>38100</xdr:colOff>
                <xdr:row>29</xdr:row>
                <xdr:rowOff>12700</xdr:rowOff>
              </from>
              <to>
                <xdr:col>6</xdr:col>
                <xdr:colOff>1041400</xdr:colOff>
                <xdr:row>30</xdr:row>
                <xdr:rowOff>171450</xdr:rowOff>
              </to>
            </anchor>
          </controlPr>
        </control>
      </mc:Choice>
      <mc:Fallback>
        <control shapeId="1081" r:id="rId90" name="CommandButton31"/>
      </mc:Fallback>
    </mc:AlternateContent>
    <mc:AlternateContent xmlns:mc="http://schemas.openxmlformats.org/markup-compatibility/2006">
      <mc:Choice Requires="x14">
        <control shapeId="1071" r:id="rId92" name="CommandButton01">
          <controlPr defaultSize="0" disabled="1" autoLine="0" r:id="rId93">
            <anchor moveWithCells="1">
              <from>
                <xdr:col>1</xdr:col>
                <xdr:colOff>50800</xdr:colOff>
                <xdr:row>29</xdr:row>
                <xdr:rowOff>12700</xdr:rowOff>
              </from>
              <to>
                <xdr:col>1</xdr:col>
                <xdr:colOff>1485900</xdr:colOff>
                <xdr:row>30</xdr:row>
                <xdr:rowOff>171450</xdr:rowOff>
              </to>
            </anchor>
          </controlPr>
        </control>
      </mc:Choice>
      <mc:Fallback>
        <control shapeId="1071" r:id="rId92" name="CommandButton01"/>
      </mc:Fallback>
    </mc:AlternateContent>
    <mc:AlternateContent xmlns:mc="http://schemas.openxmlformats.org/markup-compatibility/2006">
      <mc:Choice Requires="x14">
        <control shapeId="1069" r:id="rId94" name="CommandButton11">
          <controlPr defaultSize="0" autoLine="0" r:id="rId95">
            <anchor moveWithCells="1">
              <from>
                <xdr:col>4</xdr:col>
                <xdr:colOff>50800</xdr:colOff>
                <xdr:row>29</xdr:row>
                <xdr:rowOff>12700</xdr:rowOff>
              </from>
              <to>
                <xdr:col>4</xdr:col>
                <xdr:colOff>1054100</xdr:colOff>
                <xdr:row>30</xdr:row>
                <xdr:rowOff>171450</xdr:rowOff>
              </to>
            </anchor>
          </controlPr>
        </control>
      </mc:Choice>
      <mc:Fallback>
        <control shapeId="1069" r:id="rId94" name="CommandButton11"/>
      </mc:Fallback>
    </mc:AlternateContent>
    <mc:AlternateContent xmlns:mc="http://schemas.openxmlformats.org/markup-compatibility/2006">
      <mc:Choice Requires="x14">
        <control shapeId="1060" r:id="rId96" name="CommandButton12">
          <controlPr defaultSize="0" disabled="1" autoLine="0" r:id="rId97">
            <anchor moveWithCells="1">
              <from>
                <xdr:col>4</xdr:col>
                <xdr:colOff>1079500</xdr:colOff>
                <xdr:row>29</xdr:row>
                <xdr:rowOff>12700</xdr:rowOff>
              </from>
              <to>
                <xdr:col>4</xdr:col>
                <xdr:colOff>2082800</xdr:colOff>
                <xdr:row>30</xdr:row>
                <xdr:rowOff>171450</xdr:rowOff>
              </to>
            </anchor>
          </controlPr>
        </control>
      </mc:Choice>
      <mc:Fallback>
        <control shapeId="1060" r:id="rId96" name="CommandButton12"/>
      </mc:Fallback>
    </mc:AlternateContent>
    <mc:AlternateContent xmlns:mc="http://schemas.openxmlformats.org/markup-compatibility/2006">
      <mc:Choice Requires="x14">
        <control shapeId="1061" r:id="rId98" name="CommandButton13">
          <controlPr defaultSize="0" disabled="1" autoLine="0" r:id="rId99">
            <anchor moveWithCells="1">
              <from>
                <xdr:col>4</xdr:col>
                <xdr:colOff>2095500</xdr:colOff>
                <xdr:row>29</xdr:row>
                <xdr:rowOff>12700</xdr:rowOff>
              </from>
              <to>
                <xdr:col>4</xdr:col>
                <xdr:colOff>3098800</xdr:colOff>
                <xdr:row>30</xdr:row>
                <xdr:rowOff>171450</xdr:rowOff>
              </to>
            </anchor>
          </controlPr>
        </control>
      </mc:Choice>
      <mc:Fallback>
        <control shapeId="1061" r:id="rId98" name="CommandButton13"/>
      </mc:Fallback>
    </mc:AlternateContent>
    <mc:AlternateContent xmlns:mc="http://schemas.openxmlformats.org/markup-compatibility/2006">
      <mc:Choice Requires="x14">
        <control shapeId="1062" r:id="rId100" name="ToggleButton11">
          <controlPr defaultSize="0" disabled="1" autoLine="0" r:id="rId101">
            <anchor moveWithCells="1">
              <from>
                <xdr:col>4</xdr:col>
                <xdr:colOff>31750</xdr:colOff>
                <xdr:row>31</xdr:row>
                <xdr:rowOff>25400</xdr:rowOff>
              </from>
              <to>
                <xdr:col>4</xdr:col>
                <xdr:colOff>1035050</xdr:colOff>
                <xdr:row>32</xdr:row>
                <xdr:rowOff>184150</xdr:rowOff>
              </to>
            </anchor>
          </controlPr>
        </control>
      </mc:Choice>
      <mc:Fallback>
        <control shapeId="1062" r:id="rId100" name="ToggleButton11"/>
      </mc:Fallback>
    </mc:AlternateContent>
    <mc:AlternateContent xmlns:mc="http://schemas.openxmlformats.org/markup-compatibility/2006">
      <mc:Choice Requires="x14">
        <control shapeId="1063" r:id="rId102" name="ToggleButton12">
          <controlPr defaultSize="0" disabled="1" autoLine="0" r:id="rId103">
            <anchor moveWithCells="1">
              <from>
                <xdr:col>4</xdr:col>
                <xdr:colOff>1066800</xdr:colOff>
                <xdr:row>31</xdr:row>
                <xdr:rowOff>25400</xdr:rowOff>
              </from>
              <to>
                <xdr:col>4</xdr:col>
                <xdr:colOff>2070100</xdr:colOff>
                <xdr:row>32</xdr:row>
                <xdr:rowOff>184150</xdr:rowOff>
              </to>
            </anchor>
          </controlPr>
        </control>
      </mc:Choice>
      <mc:Fallback>
        <control shapeId="1063" r:id="rId102" name="ToggleButton12"/>
      </mc:Fallback>
    </mc:AlternateContent>
    <mc:AlternateContent xmlns:mc="http://schemas.openxmlformats.org/markup-compatibility/2006">
      <mc:Choice Requires="x14">
        <control shapeId="1074" r:id="rId104" name="CommandButton21">
          <controlPr defaultSize="0" disabled="1" autoLine="0" r:id="rId105">
            <anchor moveWithCells="1">
              <from>
                <xdr:col>5</xdr:col>
                <xdr:colOff>38100</xdr:colOff>
                <xdr:row>29</xdr:row>
                <xdr:rowOff>12700</xdr:rowOff>
              </from>
              <to>
                <xdr:col>5</xdr:col>
                <xdr:colOff>1041400</xdr:colOff>
                <xdr:row>30</xdr:row>
                <xdr:rowOff>171450</xdr:rowOff>
              </to>
            </anchor>
          </controlPr>
        </control>
      </mc:Choice>
      <mc:Fallback>
        <control shapeId="1074" r:id="rId104" name="CommandButton21"/>
      </mc:Fallback>
    </mc:AlternateContent>
    <mc:AlternateContent xmlns:mc="http://schemas.openxmlformats.org/markup-compatibility/2006">
      <mc:Choice Requires="x14">
        <control shapeId="1075" r:id="rId106" name="CommandButton22">
          <controlPr defaultSize="0" disabled="1" autoLine="0" r:id="rId107">
            <anchor moveWithCells="1">
              <from>
                <xdr:col>5</xdr:col>
                <xdr:colOff>1060450</xdr:colOff>
                <xdr:row>29</xdr:row>
                <xdr:rowOff>12700</xdr:rowOff>
              </from>
              <to>
                <xdr:col>5</xdr:col>
                <xdr:colOff>2063750</xdr:colOff>
                <xdr:row>30</xdr:row>
                <xdr:rowOff>171450</xdr:rowOff>
              </to>
            </anchor>
          </controlPr>
        </control>
      </mc:Choice>
      <mc:Fallback>
        <control shapeId="1075" r:id="rId106" name="CommandButton22"/>
      </mc:Fallback>
    </mc:AlternateContent>
    <mc:AlternateContent xmlns:mc="http://schemas.openxmlformats.org/markup-compatibility/2006">
      <mc:Choice Requires="x14">
        <control shapeId="1076" r:id="rId108" name="CommandButton23">
          <controlPr defaultSize="0" disabled="1" autoLine="0" r:id="rId109">
            <anchor moveWithCells="1">
              <from>
                <xdr:col>5</xdr:col>
                <xdr:colOff>2089150</xdr:colOff>
                <xdr:row>29</xdr:row>
                <xdr:rowOff>12700</xdr:rowOff>
              </from>
              <to>
                <xdr:col>5</xdr:col>
                <xdr:colOff>3092450</xdr:colOff>
                <xdr:row>30</xdr:row>
                <xdr:rowOff>171450</xdr:rowOff>
              </to>
            </anchor>
          </controlPr>
        </control>
      </mc:Choice>
      <mc:Fallback>
        <control shapeId="1076" r:id="rId108" name="CommandButton23"/>
      </mc:Fallback>
    </mc:AlternateContent>
    <mc:AlternateContent xmlns:mc="http://schemas.openxmlformats.org/markup-compatibility/2006">
      <mc:Choice Requires="x14">
        <control shapeId="1078" r:id="rId110" name="ToggleButton21">
          <controlPr defaultSize="0" disabled="1" autoLine="0" r:id="rId111">
            <anchor moveWithCells="1">
              <from>
                <xdr:col>5</xdr:col>
                <xdr:colOff>38100</xdr:colOff>
                <xdr:row>31</xdr:row>
                <xdr:rowOff>31750</xdr:rowOff>
              </from>
              <to>
                <xdr:col>5</xdr:col>
                <xdr:colOff>1041400</xdr:colOff>
                <xdr:row>32</xdr:row>
                <xdr:rowOff>190500</xdr:rowOff>
              </to>
            </anchor>
          </controlPr>
        </control>
      </mc:Choice>
      <mc:Fallback>
        <control shapeId="1078" r:id="rId110" name="ToggleButton21"/>
      </mc:Fallback>
    </mc:AlternateContent>
    <mc:AlternateContent xmlns:mc="http://schemas.openxmlformats.org/markup-compatibility/2006">
      <mc:Choice Requires="x14">
        <control shapeId="1079" r:id="rId112" name="ToggleButton22">
          <controlPr defaultSize="0" disabled="1" autoLine="0" r:id="rId113">
            <anchor moveWithCells="1">
              <from>
                <xdr:col>5</xdr:col>
                <xdr:colOff>1060450</xdr:colOff>
                <xdr:row>31</xdr:row>
                <xdr:rowOff>31750</xdr:rowOff>
              </from>
              <to>
                <xdr:col>5</xdr:col>
                <xdr:colOff>2063750</xdr:colOff>
                <xdr:row>32</xdr:row>
                <xdr:rowOff>190500</xdr:rowOff>
              </to>
            </anchor>
          </controlPr>
        </control>
      </mc:Choice>
      <mc:Fallback>
        <control shapeId="1079" r:id="rId112" name="ToggleButton22"/>
      </mc:Fallback>
    </mc:AlternateContent>
    <mc:AlternateContent xmlns:mc="http://schemas.openxmlformats.org/markup-compatibility/2006">
      <mc:Choice Requires="x14">
        <control shapeId="1118" r:id="rId114" name="CommandButton04">
          <controlPr defaultSize="0" autoLine="0" autoPict="0" r:id="rId115">
            <anchor moveWithCells="1">
              <from>
                <xdr:col>0</xdr:col>
                <xdr:colOff>38100</xdr:colOff>
                <xdr:row>29</xdr:row>
                <xdr:rowOff>31750</xdr:rowOff>
              </from>
              <to>
                <xdr:col>1</xdr:col>
                <xdr:colOff>0</xdr:colOff>
                <xdr:row>32</xdr:row>
                <xdr:rowOff>165100</xdr:rowOff>
              </to>
            </anchor>
          </controlPr>
        </control>
      </mc:Choice>
      <mc:Fallback>
        <control shapeId="1118" r:id="rId114" name="CommandButton04"/>
      </mc:Fallback>
    </mc:AlternateContent>
    <mc:AlternateContent xmlns:mc="http://schemas.openxmlformats.org/markup-compatibility/2006">
      <mc:Choice Requires="x14">
        <control shapeId="1120" r:id="rId116" name="CommandButtonA3">
          <controlPr defaultSize="0" autoLine="0" r:id="rId117">
            <anchor moveWithCells="1">
              <from>
                <xdr:col>0</xdr:col>
                <xdr:colOff>12700</xdr:colOff>
                <xdr:row>2</xdr:row>
                <xdr:rowOff>12700</xdr:rowOff>
              </from>
              <to>
                <xdr:col>0</xdr:col>
                <xdr:colOff>692150</xdr:colOff>
                <xdr:row>3</xdr:row>
                <xdr:rowOff>215900</xdr:rowOff>
              </to>
            </anchor>
          </controlPr>
        </control>
      </mc:Choice>
      <mc:Fallback>
        <control shapeId="1120" r:id="rId116" name="CommandButtonA3"/>
      </mc:Fallback>
    </mc:AlternateContent>
    <mc:AlternateContent xmlns:mc="http://schemas.openxmlformats.org/markup-compatibility/2006">
      <mc:Choice Requires="x14">
        <control shapeId="1121" r:id="rId118" name="CommandButtonA5">
          <controlPr defaultSize="0" autoLine="0" autoPict="0" r:id="rId119">
            <anchor moveWithCells="1">
              <from>
                <xdr:col>0</xdr:col>
                <xdr:colOff>12700</xdr:colOff>
                <xdr:row>4</xdr:row>
                <xdr:rowOff>12700</xdr:rowOff>
              </from>
              <to>
                <xdr:col>0</xdr:col>
                <xdr:colOff>685800</xdr:colOff>
                <xdr:row>7</xdr:row>
                <xdr:rowOff>241300</xdr:rowOff>
              </to>
            </anchor>
          </controlPr>
        </control>
      </mc:Choice>
      <mc:Fallback>
        <control shapeId="1121" r:id="rId118" name="CommandButtonA5"/>
      </mc:Fallback>
    </mc:AlternateContent>
    <mc:AlternateContent xmlns:mc="http://schemas.openxmlformats.org/markup-compatibility/2006">
      <mc:Choice Requires="x14">
        <control shapeId="1126" r:id="rId120" name="CommandButtonA9">
          <controlPr defaultSize="0" autoLine="0" autoPict="0" r:id="rId121">
            <anchor moveWithCells="1">
              <from>
                <xdr:col>0</xdr:col>
                <xdr:colOff>12700</xdr:colOff>
                <xdr:row>8</xdr:row>
                <xdr:rowOff>12700</xdr:rowOff>
              </from>
              <to>
                <xdr:col>0</xdr:col>
                <xdr:colOff>685800</xdr:colOff>
                <xdr:row>11</xdr:row>
                <xdr:rowOff>241300</xdr:rowOff>
              </to>
            </anchor>
          </controlPr>
        </control>
      </mc:Choice>
      <mc:Fallback>
        <control shapeId="1126" r:id="rId120" name="CommandButtonA9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378"/>
  <sheetViews>
    <sheetView tabSelected="1" workbookViewId="0">
      <selection activeCell="E7" sqref="E7"/>
    </sheetView>
  </sheetViews>
  <sheetFormatPr defaultColWidth="11.15234375" defaultRowHeight="15.5"/>
  <cols>
    <col min="1" max="1" width="11.15234375" style="35" customWidth="1"/>
    <col min="17" max="17" width="16.84375" customWidth="1"/>
    <col min="27" max="27" width="17" bestFit="1" customWidth="1"/>
  </cols>
  <sheetData>
    <row r="1" spans="1:27" ht="30.65" customHeight="1">
      <c r="A1" s="30" t="s">
        <v>97</v>
      </c>
      <c r="B1" s="17" t="s">
        <v>0</v>
      </c>
      <c r="C1" s="19" t="s">
        <v>1</v>
      </c>
      <c r="D1" s="19" t="s">
        <v>2</v>
      </c>
      <c r="E1" s="18" t="s">
        <v>20</v>
      </c>
      <c r="F1" s="19" t="s">
        <v>3</v>
      </c>
      <c r="G1" s="19" t="s">
        <v>4</v>
      </c>
      <c r="H1" s="19" t="s">
        <v>113</v>
      </c>
      <c r="I1" s="19" t="s">
        <v>110</v>
      </c>
      <c r="J1" s="19" t="s">
        <v>111</v>
      </c>
      <c r="K1" s="19" t="s">
        <v>112</v>
      </c>
      <c r="L1" s="19" t="s">
        <v>119</v>
      </c>
      <c r="M1" s="17" t="s">
        <v>120</v>
      </c>
      <c r="N1" s="17" t="s">
        <v>121</v>
      </c>
      <c r="O1" s="17" t="s">
        <v>122</v>
      </c>
      <c r="P1" s="17" t="s">
        <v>184</v>
      </c>
      <c r="Q1" s="17" t="s">
        <v>124</v>
      </c>
      <c r="R1" s="17" t="s">
        <v>125</v>
      </c>
      <c r="S1" s="17" t="s">
        <v>126</v>
      </c>
      <c r="T1" s="19" t="s">
        <v>5</v>
      </c>
      <c r="U1" s="19" t="s">
        <v>6</v>
      </c>
      <c r="V1" s="19" t="s">
        <v>24</v>
      </c>
      <c r="W1" s="19" t="s">
        <v>123</v>
      </c>
      <c r="X1" s="19" t="s">
        <v>7</v>
      </c>
      <c r="Y1" s="17" t="s">
        <v>185</v>
      </c>
      <c r="Z1" s="19" t="s">
        <v>8</v>
      </c>
      <c r="AA1" s="19" t="s">
        <v>84</v>
      </c>
    </row>
    <row r="2" spans="1:27">
      <c r="A2" s="23">
        <v>100</v>
      </c>
      <c r="B2" s="24" t="s">
        <v>308</v>
      </c>
      <c r="C2" s="24" t="s">
        <v>310</v>
      </c>
      <c r="D2" s="24" t="s">
        <v>303</v>
      </c>
      <c r="E2" s="24" t="s">
        <v>311</v>
      </c>
      <c r="F2" s="24" t="s">
        <v>192</v>
      </c>
      <c r="G2" s="24" t="s">
        <v>320</v>
      </c>
      <c r="H2" s="24" t="s">
        <v>193</v>
      </c>
      <c r="I2" s="24" t="s">
        <v>231</v>
      </c>
      <c r="J2" s="24" t="s">
        <v>305</v>
      </c>
      <c r="K2" s="24" t="s">
        <v>195</v>
      </c>
      <c r="L2" s="24" t="s">
        <v>191</v>
      </c>
      <c r="M2" s="24" t="s">
        <v>190</v>
      </c>
      <c r="N2" s="24" t="s">
        <v>190</v>
      </c>
      <c r="O2" s="24" t="s">
        <v>190</v>
      </c>
      <c r="P2" s="24" t="s">
        <v>190</v>
      </c>
      <c r="Q2" s="24" t="s">
        <v>191</v>
      </c>
      <c r="R2" s="24" t="s">
        <v>190</v>
      </c>
      <c r="S2" s="24" t="s">
        <v>190</v>
      </c>
      <c r="T2" s="24" t="s">
        <v>297</v>
      </c>
      <c r="U2" s="24" t="s">
        <v>210</v>
      </c>
      <c r="V2" s="24" t="s">
        <v>211</v>
      </c>
      <c r="W2" s="24" t="s">
        <v>190</v>
      </c>
      <c r="X2" s="24" t="s">
        <v>219</v>
      </c>
      <c r="Y2" s="24" t="s">
        <v>318</v>
      </c>
      <c r="Z2" s="24" t="s">
        <v>198</v>
      </c>
      <c r="AA2" s="25">
        <v>43587.671476388889</v>
      </c>
    </row>
    <row r="3" spans="1:27">
      <c r="A3" s="23">
        <v>99</v>
      </c>
      <c r="B3" s="24" t="s">
        <v>308</v>
      </c>
      <c r="C3" s="24" t="s">
        <v>310</v>
      </c>
      <c r="D3" s="24" t="s">
        <v>303</v>
      </c>
      <c r="E3" s="24" t="s">
        <v>311</v>
      </c>
      <c r="F3" s="24" t="s">
        <v>192</v>
      </c>
      <c r="G3" s="24" t="s">
        <v>320</v>
      </c>
      <c r="H3" s="24" t="s">
        <v>193</v>
      </c>
      <c r="I3" s="24" t="s">
        <v>231</v>
      </c>
      <c r="J3" s="24" t="s">
        <v>305</v>
      </c>
      <c r="K3" s="24" t="s">
        <v>195</v>
      </c>
      <c r="L3" s="24" t="s">
        <v>191</v>
      </c>
      <c r="M3" s="24" t="s">
        <v>190</v>
      </c>
      <c r="N3" s="24" t="s">
        <v>190</v>
      </c>
      <c r="O3" s="24" t="s">
        <v>190</v>
      </c>
      <c r="P3" s="24" t="s">
        <v>190</v>
      </c>
      <c r="Q3" s="24" t="s">
        <v>191</v>
      </c>
      <c r="R3" s="24" t="s">
        <v>190</v>
      </c>
      <c r="S3" s="24" t="s">
        <v>190</v>
      </c>
      <c r="T3" s="24" t="s">
        <v>297</v>
      </c>
      <c r="U3" s="24" t="s">
        <v>210</v>
      </c>
      <c r="V3" s="24" t="s">
        <v>221</v>
      </c>
      <c r="W3" s="24" t="s">
        <v>190</v>
      </c>
      <c r="X3" s="24" t="s">
        <v>219</v>
      </c>
      <c r="Y3" s="24" t="s">
        <v>318</v>
      </c>
      <c r="Z3" s="24" t="s">
        <v>198</v>
      </c>
      <c r="AA3" s="25">
        <v>43587.671430208335</v>
      </c>
    </row>
    <row r="4" spans="1:27">
      <c r="A4" s="23">
        <v>98</v>
      </c>
      <c r="B4" s="24" t="s">
        <v>308</v>
      </c>
      <c r="C4" s="24" t="s">
        <v>310</v>
      </c>
      <c r="D4" s="24" t="s">
        <v>303</v>
      </c>
      <c r="E4" s="24" t="s">
        <v>311</v>
      </c>
      <c r="F4" s="24" t="s">
        <v>192</v>
      </c>
      <c r="G4" s="24" t="s">
        <v>317</v>
      </c>
      <c r="H4" s="24" t="s">
        <v>193</v>
      </c>
      <c r="I4" s="24" t="s">
        <v>231</v>
      </c>
      <c r="J4" s="24" t="s">
        <v>305</v>
      </c>
      <c r="K4" s="24" t="s">
        <v>195</v>
      </c>
      <c r="L4" s="24" t="s">
        <v>191</v>
      </c>
      <c r="M4" s="24" t="s">
        <v>190</v>
      </c>
      <c r="N4" s="24" t="s">
        <v>190</v>
      </c>
      <c r="O4" s="24" t="s">
        <v>190</v>
      </c>
      <c r="P4" s="24" t="s">
        <v>190</v>
      </c>
      <c r="Q4" s="24" t="s">
        <v>191</v>
      </c>
      <c r="R4" s="24" t="s">
        <v>190</v>
      </c>
      <c r="S4" s="24" t="s">
        <v>190</v>
      </c>
      <c r="T4" s="24" t="s">
        <v>297</v>
      </c>
      <c r="U4" s="24" t="s">
        <v>210</v>
      </c>
      <c r="V4" s="24" t="s">
        <v>221</v>
      </c>
      <c r="W4" s="24" t="s">
        <v>190</v>
      </c>
      <c r="X4" s="24" t="s">
        <v>219</v>
      </c>
      <c r="Y4" s="24" t="s">
        <v>316</v>
      </c>
      <c r="Z4" s="24" t="s">
        <v>198</v>
      </c>
      <c r="AA4" s="25">
        <v>43587.669157523145</v>
      </c>
    </row>
    <row r="5" spans="1:27">
      <c r="A5" s="23">
        <v>97</v>
      </c>
      <c r="B5" s="24" t="s">
        <v>308</v>
      </c>
      <c r="C5" s="24" t="s">
        <v>310</v>
      </c>
      <c r="D5" s="24" t="s">
        <v>303</v>
      </c>
      <c r="E5" s="24" t="s">
        <v>311</v>
      </c>
      <c r="F5" s="24" t="s">
        <v>192</v>
      </c>
      <c r="G5" s="24" t="s">
        <v>317</v>
      </c>
      <c r="H5" s="24" t="s">
        <v>193</v>
      </c>
      <c r="I5" s="24" t="s">
        <v>231</v>
      </c>
      <c r="J5" s="24" t="s">
        <v>305</v>
      </c>
      <c r="K5" s="24" t="s">
        <v>195</v>
      </c>
      <c r="L5" s="24" t="s">
        <v>191</v>
      </c>
      <c r="M5" s="24" t="s">
        <v>190</v>
      </c>
      <c r="N5" s="24" t="s">
        <v>190</v>
      </c>
      <c r="O5" s="24" t="s">
        <v>190</v>
      </c>
      <c r="P5" s="24" t="s">
        <v>190</v>
      </c>
      <c r="Q5" s="24" t="s">
        <v>191</v>
      </c>
      <c r="R5" s="24" t="s">
        <v>190</v>
      </c>
      <c r="S5" s="24" t="s">
        <v>190</v>
      </c>
      <c r="T5" s="24" t="s">
        <v>297</v>
      </c>
      <c r="U5" s="24" t="s">
        <v>210</v>
      </c>
      <c r="V5" s="24" t="s">
        <v>211</v>
      </c>
      <c r="W5" s="24" t="s">
        <v>190</v>
      </c>
      <c r="X5" s="24" t="s">
        <v>219</v>
      </c>
      <c r="Y5" s="24" t="s">
        <v>316</v>
      </c>
      <c r="Z5" s="24" t="s">
        <v>198</v>
      </c>
      <c r="AA5" s="25">
        <v>43587.669153703704</v>
      </c>
    </row>
    <row r="6" spans="1:27">
      <c r="A6" s="23">
        <v>96</v>
      </c>
      <c r="B6" s="24" t="s">
        <v>308</v>
      </c>
      <c r="C6" s="24" t="s">
        <v>310</v>
      </c>
      <c r="D6" s="24" t="s">
        <v>303</v>
      </c>
      <c r="E6" s="24" t="s">
        <v>311</v>
      </c>
      <c r="F6" s="24" t="s">
        <v>192</v>
      </c>
      <c r="G6" s="24" t="s">
        <v>315</v>
      </c>
      <c r="H6" s="24" t="s">
        <v>193</v>
      </c>
      <c r="I6" s="24" t="s">
        <v>231</v>
      </c>
      <c r="J6" s="24" t="s">
        <v>305</v>
      </c>
      <c r="K6" s="24" t="s">
        <v>195</v>
      </c>
      <c r="L6" s="24" t="s">
        <v>191</v>
      </c>
      <c r="M6" s="24" t="s">
        <v>190</v>
      </c>
      <c r="N6" s="24" t="s">
        <v>190</v>
      </c>
      <c r="O6" s="24" t="s">
        <v>190</v>
      </c>
      <c r="P6" s="24" t="s">
        <v>190</v>
      </c>
      <c r="Q6" s="24" t="s">
        <v>191</v>
      </c>
      <c r="R6" s="24" t="s">
        <v>190</v>
      </c>
      <c r="S6" s="24" t="s">
        <v>190</v>
      </c>
      <c r="T6" s="24" t="s">
        <v>297</v>
      </c>
      <c r="U6" s="24" t="s">
        <v>210</v>
      </c>
      <c r="V6" s="24" t="s">
        <v>211</v>
      </c>
      <c r="W6" s="24" t="s">
        <v>190</v>
      </c>
      <c r="X6" s="24" t="s">
        <v>206</v>
      </c>
      <c r="Y6" s="24" t="s">
        <v>307</v>
      </c>
      <c r="Z6" s="24" t="s">
        <v>198</v>
      </c>
      <c r="AA6" s="25">
        <v>43587.669150000002</v>
      </c>
    </row>
    <row r="7" spans="1:27">
      <c r="A7" s="23">
        <v>95</v>
      </c>
      <c r="B7" s="24" t="s">
        <v>308</v>
      </c>
      <c r="C7" s="24" t="s">
        <v>310</v>
      </c>
      <c r="D7" s="24" t="s">
        <v>303</v>
      </c>
      <c r="E7" s="24" t="s">
        <v>311</v>
      </c>
      <c r="F7" s="24" t="s">
        <v>192</v>
      </c>
      <c r="G7" s="24" t="s">
        <v>315</v>
      </c>
      <c r="H7" s="24" t="s">
        <v>193</v>
      </c>
      <c r="I7" s="24" t="s">
        <v>231</v>
      </c>
      <c r="J7" s="24" t="s">
        <v>305</v>
      </c>
      <c r="K7" s="24" t="s">
        <v>195</v>
      </c>
      <c r="L7" s="24" t="s">
        <v>191</v>
      </c>
      <c r="M7" s="24" t="s">
        <v>190</v>
      </c>
      <c r="N7" s="24" t="s">
        <v>190</v>
      </c>
      <c r="O7" s="24" t="s">
        <v>190</v>
      </c>
      <c r="P7" s="24" t="s">
        <v>190</v>
      </c>
      <c r="Q7" s="24" t="s">
        <v>191</v>
      </c>
      <c r="R7" s="24" t="s">
        <v>190</v>
      </c>
      <c r="S7" s="24" t="s">
        <v>190</v>
      </c>
      <c r="T7" s="24" t="s">
        <v>297</v>
      </c>
      <c r="U7" s="24" t="s">
        <v>210</v>
      </c>
      <c r="V7" s="24" t="s">
        <v>221</v>
      </c>
      <c r="W7" s="24" t="s">
        <v>190</v>
      </c>
      <c r="X7" s="24" t="s">
        <v>206</v>
      </c>
      <c r="Y7" s="24" t="s">
        <v>307</v>
      </c>
      <c r="Z7" s="24" t="s">
        <v>198</v>
      </c>
      <c r="AA7" s="25">
        <v>43587.669146412038</v>
      </c>
    </row>
    <row r="8" spans="1:27">
      <c r="A8" s="23">
        <v>94</v>
      </c>
      <c r="B8" s="24" t="s">
        <v>308</v>
      </c>
      <c r="C8" s="24" t="s">
        <v>310</v>
      </c>
      <c r="D8" s="24" t="s">
        <v>303</v>
      </c>
      <c r="E8" s="24" t="s">
        <v>311</v>
      </c>
      <c r="F8" s="24" t="s">
        <v>192</v>
      </c>
      <c r="G8" s="24" t="s">
        <v>314</v>
      </c>
      <c r="H8" s="24" t="s">
        <v>193</v>
      </c>
      <c r="I8" s="24" t="s">
        <v>231</v>
      </c>
      <c r="J8" s="24" t="s">
        <v>305</v>
      </c>
      <c r="K8" s="24" t="s">
        <v>195</v>
      </c>
      <c r="L8" s="24" t="s">
        <v>191</v>
      </c>
      <c r="M8" s="24" t="s">
        <v>190</v>
      </c>
      <c r="N8" s="24" t="s">
        <v>190</v>
      </c>
      <c r="O8" s="24" t="s">
        <v>190</v>
      </c>
      <c r="P8" s="24" t="s">
        <v>190</v>
      </c>
      <c r="Q8" s="24" t="s">
        <v>191</v>
      </c>
      <c r="R8" s="24" t="s">
        <v>190</v>
      </c>
      <c r="S8" s="24" t="s">
        <v>190</v>
      </c>
      <c r="T8" s="24" t="s">
        <v>297</v>
      </c>
      <c r="U8" s="24" t="s">
        <v>210</v>
      </c>
      <c r="V8" s="24" t="s">
        <v>221</v>
      </c>
      <c r="W8" s="24" t="s">
        <v>190</v>
      </c>
      <c r="X8" s="24" t="s">
        <v>206</v>
      </c>
      <c r="Y8" s="24" t="s">
        <v>307</v>
      </c>
      <c r="Z8" s="24" t="s">
        <v>198</v>
      </c>
      <c r="AA8" s="25">
        <v>43587.669142592589</v>
      </c>
    </row>
    <row r="9" spans="1:27">
      <c r="A9" s="23">
        <v>93</v>
      </c>
      <c r="B9" s="24" t="s">
        <v>308</v>
      </c>
      <c r="C9" s="24" t="s">
        <v>310</v>
      </c>
      <c r="D9" s="24" t="s">
        <v>303</v>
      </c>
      <c r="E9" s="24" t="s">
        <v>311</v>
      </c>
      <c r="F9" s="24" t="s">
        <v>192</v>
      </c>
      <c r="G9" s="24" t="s">
        <v>314</v>
      </c>
      <c r="H9" s="24" t="s">
        <v>193</v>
      </c>
      <c r="I9" s="24" t="s">
        <v>231</v>
      </c>
      <c r="J9" s="24" t="s">
        <v>305</v>
      </c>
      <c r="K9" s="24" t="s">
        <v>195</v>
      </c>
      <c r="L9" s="24" t="s">
        <v>191</v>
      </c>
      <c r="M9" s="24" t="s">
        <v>190</v>
      </c>
      <c r="N9" s="24" t="s">
        <v>190</v>
      </c>
      <c r="O9" s="24" t="s">
        <v>190</v>
      </c>
      <c r="P9" s="24" t="s">
        <v>190</v>
      </c>
      <c r="Q9" s="24" t="s">
        <v>191</v>
      </c>
      <c r="R9" s="24" t="s">
        <v>190</v>
      </c>
      <c r="S9" s="24" t="s">
        <v>190</v>
      </c>
      <c r="T9" s="24" t="s">
        <v>297</v>
      </c>
      <c r="U9" s="24" t="s">
        <v>210</v>
      </c>
      <c r="V9" s="24" t="s">
        <v>211</v>
      </c>
      <c r="W9" s="24" t="s">
        <v>190</v>
      </c>
      <c r="X9" s="24" t="s">
        <v>206</v>
      </c>
      <c r="Y9" s="24" t="s">
        <v>307</v>
      </c>
      <c r="Z9" s="24" t="s">
        <v>198</v>
      </c>
      <c r="AA9" s="25">
        <v>43587.669138773148</v>
      </c>
    </row>
    <row r="10" spans="1:27">
      <c r="A10" s="23">
        <v>92</v>
      </c>
      <c r="B10" s="24" t="s">
        <v>308</v>
      </c>
      <c r="C10" s="24" t="s">
        <v>310</v>
      </c>
      <c r="D10" s="24" t="s">
        <v>303</v>
      </c>
      <c r="E10" s="24" t="s">
        <v>311</v>
      </c>
      <c r="F10" s="24" t="s">
        <v>192</v>
      </c>
      <c r="G10" s="24" t="s">
        <v>304</v>
      </c>
      <c r="H10" s="24" t="s">
        <v>193</v>
      </c>
      <c r="I10" s="24" t="s">
        <v>231</v>
      </c>
      <c r="J10" s="24" t="s">
        <v>305</v>
      </c>
      <c r="K10" s="24" t="s">
        <v>195</v>
      </c>
      <c r="L10" s="24" t="s">
        <v>191</v>
      </c>
      <c r="M10" s="24" t="s">
        <v>190</v>
      </c>
      <c r="N10" s="24" t="s">
        <v>190</v>
      </c>
      <c r="O10" s="24" t="s">
        <v>190</v>
      </c>
      <c r="P10" s="24" t="s">
        <v>190</v>
      </c>
      <c r="Q10" s="24" t="s">
        <v>191</v>
      </c>
      <c r="R10" s="24" t="s">
        <v>190</v>
      </c>
      <c r="S10" s="24" t="s">
        <v>190</v>
      </c>
      <c r="T10" s="24" t="s">
        <v>297</v>
      </c>
      <c r="U10" s="24" t="s">
        <v>210</v>
      </c>
      <c r="V10" s="24" t="s">
        <v>211</v>
      </c>
      <c r="W10" s="24" t="s">
        <v>190</v>
      </c>
      <c r="X10" s="24" t="s">
        <v>206</v>
      </c>
      <c r="Y10" s="24" t="s">
        <v>307</v>
      </c>
      <c r="Z10" s="24" t="s">
        <v>198</v>
      </c>
      <c r="AA10" s="25">
        <v>43587.669134722222</v>
      </c>
    </row>
    <row r="11" spans="1:27">
      <c r="A11" s="23">
        <v>91</v>
      </c>
      <c r="B11" s="24" t="s">
        <v>308</v>
      </c>
      <c r="C11" s="24" t="s">
        <v>310</v>
      </c>
      <c r="D11" s="24" t="s">
        <v>303</v>
      </c>
      <c r="E11" s="24" t="s">
        <v>311</v>
      </c>
      <c r="F11" s="24" t="s">
        <v>192</v>
      </c>
      <c r="G11" s="24" t="s">
        <v>304</v>
      </c>
      <c r="H11" s="24" t="s">
        <v>193</v>
      </c>
      <c r="I11" s="24" t="s">
        <v>231</v>
      </c>
      <c r="J11" s="24" t="s">
        <v>305</v>
      </c>
      <c r="K11" s="24" t="s">
        <v>195</v>
      </c>
      <c r="L11" s="24" t="s">
        <v>191</v>
      </c>
      <c r="M11" s="24" t="s">
        <v>190</v>
      </c>
      <c r="N11" s="24" t="s">
        <v>190</v>
      </c>
      <c r="O11" s="24" t="s">
        <v>190</v>
      </c>
      <c r="P11" s="24" t="s">
        <v>190</v>
      </c>
      <c r="Q11" s="24" t="s">
        <v>191</v>
      </c>
      <c r="R11" s="24" t="s">
        <v>190</v>
      </c>
      <c r="S11" s="24" t="s">
        <v>190</v>
      </c>
      <c r="T11" s="24" t="s">
        <v>297</v>
      </c>
      <c r="U11" s="24" t="s">
        <v>210</v>
      </c>
      <c r="V11" s="24" t="s">
        <v>221</v>
      </c>
      <c r="W11" s="24" t="s">
        <v>190</v>
      </c>
      <c r="X11" s="24" t="s">
        <v>206</v>
      </c>
      <c r="Y11" s="24" t="s">
        <v>307</v>
      </c>
      <c r="Z11" s="24" t="s">
        <v>198</v>
      </c>
      <c r="AA11" s="25">
        <v>43587.668952662039</v>
      </c>
    </row>
    <row r="12" spans="1:27">
      <c r="A12" s="23">
        <v>90</v>
      </c>
      <c r="B12" s="24" t="s">
        <v>292</v>
      </c>
      <c r="C12" s="24" t="s">
        <v>293</v>
      </c>
      <c r="D12" s="24" t="s">
        <v>280</v>
      </c>
      <c r="E12" s="24" t="s">
        <v>190</v>
      </c>
      <c r="F12" s="24" t="s">
        <v>192</v>
      </c>
      <c r="G12" s="24" t="s">
        <v>300</v>
      </c>
      <c r="H12" s="24" t="s">
        <v>193</v>
      </c>
      <c r="I12" s="24" t="s">
        <v>295</v>
      </c>
      <c r="J12" s="24" t="s">
        <v>302</v>
      </c>
      <c r="K12" s="24" t="s">
        <v>296</v>
      </c>
      <c r="L12" s="24" t="s">
        <v>191</v>
      </c>
      <c r="M12" s="24" t="s">
        <v>190</v>
      </c>
      <c r="N12" s="24" t="s">
        <v>190</v>
      </c>
      <c r="O12" s="24" t="s">
        <v>190</v>
      </c>
      <c r="P12" s="24" t="s">
        <v>190</v>
      </c>
      <c r="Q12" s="24" t="s">
        <v>191</v>
      </c>
      <c r="R12" s="24" t="s">
        <v>190</v>
      </c>
      <c r="S12" s="24" t="s">
        <v>190</v>
      </c>
      <c r="T12" s="24" t="s">
        <v>297</v>
      </c>
      <c r="U12" s="24" t="s">
        <v>210</v>
      </c>
      <c r="V12" s="24" t="s">
        <v>299</v>
      </c>
      <c r="W12" s="24" t="s">
        <v>190</v>
      </c>
      <c r="X12" s="24" t="s">
        <v>219</v>
      </c>
      <c r="Y12" s="24" t="s">
        <v>301</v>
      </c>
      <c r="Z12" s="24" t="s">
        <v>198</v>
      </c>
      <c r="AA12" s="25">
        <v>43583.904911805555</v>
      </c>
    </row>
    <row r="13" spans="1:27">
      <c r="A13" s="23">
        <v>89</v>
      </c>
      <c r="B13" s="24" t="s">
        <v>292</v>
      </c>
      <c r="C13" s="24" t="s">
        <v>293</v>
      </c>
      <c r="D13" s="24" t="s">
        <v>280</v>
      </c>
      <c r="E13" s="24" t="s">
        <v>190</v>
      </c>
      <c r="F13" s="24" t="s">
        <v>192</v>
      </c>
      <c r="G13" s="24" t="s">
        <v>281</v>
      </c>
      <c r="H13" s="24" t="s">
        <v>193</v>
      </c>
      <c r="I13" s="24" t="s">
        <v>295</v>
      </c>
      <c r="J13" s="24" t="s">
        <v>302</v>
      </c>
      <c r="K13" s="24" t="s">
        <v>296</v>
      </c>
      <c r="L13" s="24" t="s">
        <v>191</v>
      </c>
      <c r="M13" s="24" t="s">
        <v>190</v>
      </c>
      <c r="N13" s="24" t="s">
        <v>190</v>
      </c>
      <c r="O13" s="24" t="s">
        <v>190</v>
      </c>
      <c r="P13" s="24" t="s">
        <v>190</v>
      </c>
      <c r="Q13" s="24" t="s">
        <v>191</v>
      </c>
      <c r="R13" s="24" t="s">
        <v>190</v>
      </c>
      <c r="S13" s="24" t="s">
        <v>190</v>
      </c>
      <c r="T13" s="24" t="s">
        <v>297</v>
      </c>
      <c r="U13" s="24" t="s">
        <v>210</v>
      </c>
      <c r="V13" s="24" t="s">
        <v>299</v>
      </c>
      <c r="W13" s="24" t="s">
        <v>190</v>
      </c>
      <c r="X13" s="24" t="s">
        <v>219</v>
      </c>
      <c r="Y13" s="24" t="s">
        <v>301</v>
      </c>
      <c r="Z13" s="24" t="s">
        <v>198</v>
      </c>
      <c r="AA13" s="25">
        <v>43583.904908449076</v>
      </c>
    </row>
    <row r="14" spans="1:27">
      <c r="A14" s="23">
        <v>88</v>
      </c>
      <c r="B14" s="24" t="s">
        <v>292</v>
      </c>
      <c r="C14" s="24" t="s">
        <v>293</v>
      </c>
      <c r="D14" s="24" t="s">
        <v>280</v>
      </c>
      <c r="E14" s="24" t="s">
        <v>190</v>
      </c>
      <c r="F14" s="24" t="s">
        <v>192</v>
      </c>
      <c r="G14" s="24" t="s">
        <v>281</v>
      </c>
      <c r="H14" s="24" t="s">
        <v>193</v>
      </c>
      <c r="I14" s="24" t="s">
        <v>295</v>
      </c>
      <c r="J14" s="24" t="s">
        <v>294</v>
      </c>
      <c r="K14" s="24" t="s">
        <v>296</v>
      </c>
      <c r="L14" s="24" t="s">
        <v>191</v>
      </c>
      <c r="M14" s="24" t="s">
        <v>190</v>
      </c>
      <c r="N14" s="24" t="s">
        <v>190</v>
      </c>
      <c r="O14" s="24" t="s">
        <v>190</v>
      </c>
      <c r="P14" s="24" t="s">
        <v>190</v>
      </c>
      <c r="Q14" s="24" t="s">
        <v>191</v>
      </c>
      <c r="R14" s="24" t="s">
        <v>190</v>
      </c>
      <c r="S14" s="24" t="s">
        <v>190</v>
      </c>
      <c r="T14" s="24" t="s">
        <v>297</v>
      </c>
      <c r="U14" s="24" t="s">
        <v>210</v>
      </c>
      <c r="V14" s="24" t="s">
        <v>299</v>
      </c>
      <c r="W14" s="24" t="s">
        <v>190</v>
      </c>
      <c r="X14" s="24" t="s">
        <v>206</v>
      </c>
      <c r="Y14" s="24" t="s">
        <v>291</v>
      </c>
      <c r="Z14" s="24" t="s">
        <v>198</v>
      </c>
      <c r="AA14" s="25">
        <v>43583.90490439815</v>
      </c>
    </row>
    <row r="15" spans="1:27">
      <c r="A15" s="23">
        <v>87</v>
      </c>
      <c r="B15" s="24" t="s">
        <v>292</v>
      </c>
      <c r="C15" s="24" t="s">
        <v>293</v>
      </c>
      <c r="D15" s="24" t="s">
        <v>280</v>
      </c>
      <c r="E15" s="24" t="s">
        <v>190</v>
      </c>
      <c r="F15" s="24" t="s">
        <v>192</v>
      </c>
      <c r="G15" s="24" t="s">
        <v>300</v>
      </c>
      <c r="H15" s="24" t="s">
        <v>193</v>
      </c>
      <c r="I15" s="24" t="s">
        <v>295</v>
      </c>
      <c r="J15" s="24" t="s">
        <v>294</v>
      </c>
      <c r="K15" s="24" t="s">
        <v>296</v>
      </c>
      <c r="L15" s="24" t="s">
        <v>191</v>
      </c>
      <c r="M15" s="24" t="s">
        <v>190</v>
      </c>
      <c r="N15" s="24" t="s">
        <v>190</v>
      </c>
      <c r="O15" s="24" t="s">
        <v>190</v>
      </c>
      <c r="P15" s="24" t="s">
        <v>190</v>
      </c>
      <c r="Q15" s="24" t="s">
        <v>191</v>
      </c>
      <c r="R15" s="24" t="s">
        <v>190</v>
      </c>
      <c r="S15" s="24" t="s">
        <v>190</v>
      </c>
      <c r="T15" s="24" t="s">
        <v>297</v>
      </c>
      <c r="U15" s="24" t="s">
        <v>210</v>
      </c>
      <c r="V15" s="24" t="s">
        <v>299</v>
      </c>
      <c r="W15" s="24" t="s">
        <v>190</v>
      </c>
      <c r="X15" s="24" t="s">
        <v>206</v>
      </c>
      <c r="Y15" s="24" t="s">
        <v>291</v>
      </c>
      <c r="Z15" s="24" t="s">
        <v>198</v>
      </c>
      <c r="AA15" s="25">
        <v>43583.904687268521</v>
      </c>
    </row>
    <row r="16" spans="1:27">
      <c r="A16" s="23">
        <v>86</v>
      </c>
      <c r="B16" s="24" t="s">
        <v>278</v>
      </c>
      <c r="C16" s="24" t="s">
        <v>279</v>
      </c>
      <c r="D16" s="24" t="s">
        <v>280</v>
      </c>
      <c r="E16" s="24" t="s">
        <v>190</v>
      </c>
      <c r="F16" s="24" t="s">
        <v>192</v>
      </c>
      <c r="G16" s="24" t="s">
        <v>281</v>
      </c>
      <c r="H16" s="24" t="s">
        <v>193</v>
      </c>
      <c r="I16" s="24" t="s">
        <v>190</v>
      </c>
      <c r="J16" s="24" t="s">
        <v>282</v>
      </c>
      <c r="K16" s="24" t="s">
        <v>195</v>
      </c>
      <c r="L16" s="24" t="s">
        <v>191</v>
      </c>
      <c r="M16" s="24" t="s">
        <v>190</v>
      </c>
      <c r="N16" s="24" t="s">
        <v>190</v>
      </c>
      <c r="O16" s="24" t="s">
        <v>190</v>
      </c>
      <c r="P16" s="24" t="s">
        <v>190</v>
      </c>
      <c r="Q16" s="24" t="s">
        <v>193</v>
      </c>
      <c r="R16" s="24" t="s">
        <v>215</v>
      </c>
      <c r="S16" s="24" t="s">
        <v>283</v>
      </c>
      <c r="T16" s="24" t="s">
        <v>276</v>
      </c>
      <c r="U16" s="24" t="s">
        <v>205</v>
      </c>
      <c r="V16" s="24" t="s">
        <v>289</v>
      </c>
      <c r="W16" s="24" t="s">
        <v>290</v>
      </c>
      <c r="X16" s="24" t="s">
        <v>217</v>
      </c>
      <c r="Y16" s="24" t="s">
        <v>284</v>
      </c>
      <c r="Z16" s="24" t="s">
        <v>198</v>
      </c>
      <c r="AA16" s="25">
        <v>43581.865198032407</v>
      </c>
    </row>
    <row r="17" spans="1:27">
      <c r="A17" s="23">
        <v>85</v>
      </c>
      <c r="B17" s="24" t="s">
        <v>278</v>
      </c>
      <c r="C17" s="24" t="s">
        <v>279</v>
      </c>
      <c r="D17" s="24" t="s">
        <v>280</v>
      </c>
      <c r="E17" s="24" t="s">
        <v>190</v>
      </c>
      <c r="F17" s="24" t="s">
        <v>192</v>
      </c>
      <c r="G17" s="24" t="s">
        <v>281</v>
      </c>
      <c r="H17" s="24" t="s">
        <v>193</v>
      </c>
      <c r="I17" s="24" t="s">
        <v>190</v>
      </c>
      <c r="J17" s="24" t="s">
        <v>282</v>
      </c>
      <c r="K17" s="24" t="s">
        <v>195</v>
      </c>
      <c r="L17" s="24" t="s">
        <v>191</v>
      </c>
      <c r="M17" s="24" t="s">
        <v>190</v>
      </c>
      <c r="N17" s="24" t="s">
        <v>190</v>
      </c>
      <c r="O17" s="24" t="s">
        <v>190</v>
      </c>
      <c r="P17" s="24" t="s">
        <v>190</v>
      </c>
      <c r="Q17" s="24" t="s">
        <v>193</v>
      </c>
      <c r="R17" s="24" t="s">
        <v>215</v>
      </c>
      <c r="S17" s="24" t="s">
        <v>283</v>
      </c>
      <c r="T17" s="24" t="s">
        <v>276</v>
      </c>
      <c r="U17" s="24" t="s">
        <v>205</v>
      </c>
      <c r="V17" s="24" t="s">
        <v>287</v>
      </c>
      <c r="W17" s="24" t="s">
        <v>288</v>
      </c>
      <c r="X17" s="24" t="s">
        <v>217</v>
      </c>
      <c r="Y17" s="24" t="s">
        <v>284</v>
      </c>
      <c r="Z17" s="24" t="s">
        <v>198</v>
      </c>
      <c r="AA17" s="25">
        <v>43581.865194791666</v>
      </c>
    </row>
    <row r="18" spans="1:27">
      <c r="A18" s="23">
        <v>84</v>
      </c>
      <c r="B18" s="24" t="s">
        <v>278</v>
      </c>
      <c r="C18" s="24" t="s">
        <v>279</v>
      </c>
      <c r="D18" s="24" t="s">
        <v>280</v>
      </c>
      <c r="E18" s="24" t="s">
        <v>190</v>
      </c>
      <c r="F18" s="24" t="s">
        <v>192</v>
      </c>
      <c r="G18" s="24" t="s">
        <v>281</v>
      </c>
      <c r="H18" s="24" t="s">
        <v>193</v>
      </c>
      <c r="I18" s="24" t="s">
        <v>190</v>
      </c>
      <c r="J18" s="24" t="s">
        <v>282</v>
      </c>
      <c r="K18" s="24" t="s">
        <v>195</v>
      </c>
      <c r="L18" s="24" t="s">
        <v>191</v>
      </c>
      <c r="M18" s="24" t="s">
        <v>190</v>
      </c>
      <c r="N18" s="24" t="s">
        <v>190</v>
      </c>
      <c r="O18" s="24" t="s">
        <v>190</v>
      </c>
      <c r="P18" s="24" t="s">
        <v>190</v>
      </c>
      <c r="Q18" s="24" t="s">
        <v>193</v>
      </c>
      <c r="R18" s="24" t="s">
        <v>215</v>
      </c>
      <c r="S18" s="24" t="s">
        <v>283</v>
      </c>
      <c r="T18" s="24" t="s">
        <v>276</v>
      </c>
      <c r="U18" s="24" t="s">
        <v>205</v>
      </c>
      <c r="V18" s="24" t="s">
        <v>285</v>
      </c>
      <c r="W18" s="24" t="s">
        <v>286</v>
      </c>
      <c r="X18" s="24" t="s">
        <v>217</v>
      </c>
      <c r="Y18" s="24" t="s">
        <v>284</v>
      </c>
      <c r="Z18" s="24" t="s">
        <v>198</v>
      </c>
      <c r="AA18" s="25">
        <v>43581.865010185182</v>
      </c>
    </row>
    <row r="19" spans="1:27">
      <c r="A19" s="23">
        <v>83</v>
      </c>
      <c r="B19" s="24" t="s">
        <v>266</v>
      </c>
      <c r="C19" s="24" t="s">
        <v>267</v>
      </c>
      <c r="D19" s="24" t="s">
        <v>268</v>
      </c>
      <c r="E19" s="24" t="s">
        <v>190</v>
      </c>
      <c r="F19" s="24" t="s">
        <v>192</v>
      </c>
      <c r="G19" s="24" t="s">
        <v>272</v>
      </c>
      <c r="H19" s="24" t="s">
        <v>193</v>
      </c>
      <c r="I19" s="24" t="s">
        <v>231</v>
      </c>
      <c r="J19" s="24" t="s">
        <v>190</v>
      </c>
      <c r="K19" s="24" t="s">
        <v>195</v>
      </c>
      <c r="L19" s="24" t="s">
        <v>191</v>
      </c>
      <c r="M19" s="24" t="s">
        <v>190</v>
      </c>
      <c r="N19" s="24" t="s">
        <v>190</v>
      </c>
      <c r="O19" s="24" t="s">
        <v>190</v>
      </c>
      <c r="P19" s="24" t="s">
        <v>190</v>
      </c>
      <c r="Q19" s="24" t="s">
        <v>193</v>
      </c>
      <c r="R19" s="24" t="s">
        <v>215</v>
      </c>
      <c r="S19" s="24" t="s">
        <v>277</v>
      </c>
      <c r="T19" s="24" t="s">
        <v>276</v>
      </c>
      <c r="U19" s="24" t="s">
        <v>210</v>
      </c>
      <c r="V19" s="24" t="s">
        <v>273</v>
      </c>
      <c r="W19" s="24" t="s">
        <v>190</v>
      </c>
      <c r="X19" s="24" t="s">
        <v>217</v>
      </c>
      <c r="Y19" s="24" t="s">
        <v>275</v>
      </c>
      <c r="Z19" s="24" t="s">
        <v>198</v>
      </c>
      <c r="AA19" s="25">
        <v>43578.918518055558</v>
      </c>
    </row>
    <row r="20" spans="1:27">
      <c r="A20" s="23">
        <v>82</v>
      </c>
      <c r="B20" s="24" t="s">
        <v>266</v>
      </c>
      <c r="C20" s="24" t="s">
        <v>267</v>
      </c>
      <c r="D20" s="24" t="s">
        <v>268</v>
      </c>
      <c r="E20" s="24" t="s">
        <v>190</v>
      </c>
      <c r="F20" s="24" t="s">
        <v>192</v>
      </c>
      <c r="G20" s="24" t="s">
        <v>274</v>
      </c>
      <c r="H20" s="24" t="s">
        <v>193</v>
      </c>
      <c r="I20" s="24" t="s">
        <v>231</v>
      </c>
      <c r="J20" s="24" t="s">
        <v>190</v>
      </c>
      <c r="K20" s="24" t="s">
        <v>195</v>
      </c>
      <c r="L20" s="24" t="s">
        <v>191</v>
      </c>
      <c r="M20" s="24" t="s">
        <v>190</v>
      </c>
      <c r="N20" s="24" t="s">
        <v>190</v>
      </c>
      <c r="O20" s="24" t="s">
        <v>190</v>
      </c>
      <c r="P20" s="24" t="s">
        <v>190</v>
      </c>
      <c r="Q20" s="24" t="s">
        <v>193</v>
      </c>
      <c r="R20" s="24" t="s">
        <v>215</v>
      </c>
      <c r="S20" s="24" t="s">
        <v>277</v>
      </c>
      <c r="T20" s="24" t="s">
        <v>276</v>
      </c>
      <c r="U20" s="24" t="s">
        <v>210</v>
      </c>
      <c r="V20" s="24" t="s">
        <v>273</v>
      </c>
      <c r="W20" s="24" t="s">
        <v>190</v>
      </c>
      <c r="X20" s="24" t="s">
        <v>217</v>
      </c>
      <c r="Y20" s="24" t="s">
        <v>275</v>
      </c>
      <c r="Z20" s="24" t="s">
        <v>198</v>
      </c>
      <c r="AA20" s="25">
        <v>43578.918342592595</v>
      </c>
    </row>
    <row r="21" spans="1:27">
      <c r="A21" s="23">
        <v>81</v>
      </c>
      <c r="B21" s="24" t="s">
        <v>266</v>
      </c>
      <c r="C21" s="24" t="s">
        <v>267</v>
      </c>
      <c r="D21" s="24" t="s">
        <v>268</v>
      </c>
      <c r="E21" s="24" t="s">
        <v>190</v>
      </c>
      <c r="F21" s="24" t="s">
        <v>192</v>
      </c>
      <c r="G21" s="24" t="s">
        <v>274</v>
      </c>
      <c r="H21" s="24" t="s">
        <v>193</v>
      </c>
      <c r="I21" s="24" t="s">
        <v>231</v>
      </c>
      <c r="J21" s="24" t="s">
        <v>270</v>
      </c>
      <c r="K21" s="24" t="s">
        <v>195</v>
      </c>
      <c r="L21" s="24" t="s">
        <v>191</v>
      </c>
      <c r="M21" s="24" t="s">
        <v>190</v>
      </c>
      <c r="N21" s="24" t="s">
        <v>190</v>
      </c>
      <c r="O21" s="24" t="s">
        <v>190</v>
      </c>
      <c r="P21" s="24" t="s">
        <v>190</v>
      </c>
      <c r="Q21" s="24" t="s">
        <v>191</v>
      </c>
      <c r="R21" s="24" t="s">
        <v>190</v>
      </c>
      <c r="S21" s="24" t="s">
        <v>190</v>
      </c>
      <c r="T21" s="24" t="s">
        <v>204</v>
      </c>
      <c r="U21" s="24" t="s">
        <v>210</v>
      </c>
      <c r="V21" s="24" t="s">
        <v>273</v>
      </c>
      <c r="W21" s="24" t="s">
        <v>190</v>
      </c>
      <c r="X21" s="24" t="s">
        <v>206</v>
      </c>
      <c r="Y21" s="24" t="s">
        <v>265</v>
      </c>
      <c r="Z21" s="24" t="s">
        <v>198</v>
      </c>
      <c r="AA21" s="25">
        <v>43578.915787962964</v>
      </c>
    </row>
    <row r="22" spans="1:27">
      <c r="A22" s="23">
        <v>80</v>
      </c>
      <c r="B22" s="24" t="s">
        <v>266</v>
      </c>
      <c r="C22" s="24" t="s">
        <v>267</v>
      </c>
      <c r="D22" s="24" t="s">
        <v>268</v>
      </c>
      <c r="E22" s="24" t="s">
        <v>190</v>
      </c>
      <c r="F22" s="24" t="s">
        <v>192</v>
      </c>
      <c r="G22" s="24" t="s">
        <v>272</v>
      </c>
      <c r="H22" s="24" t="s">
        <v>193</v>
      </c>
      <c r="I22" s="24" t="s">
        <v>231</v>
      </c>
      <c r="J22" s="24" t="s">
        <v>270</v>
      </c>
      <c r="K22" s="24" t="s">
        <v>195</v>
      </c>
      <c r="L22" s="24" t="s">
        <v>191</v>
      </c>
      <c r="M22" s="24" t="s">
        <v>190</v>
      </c>
      <c r="N22" s="24" t="s">
        <v>190</v>
      </c>
      <c r="O22" s="24" t="s">
        <v>190</v>
      </c>
      <c r="P22" s="24" t="s">
        <v>190</v>
      </c>
      <c r="Q22" s="24" t="s">
        <v>191</v>
      </c>
      <c r="R22" s="24" t="s">
        <v>190</v>
      </c>
      <c r="S22" s="24" t="s">
        <v>190</v>
      </c>
      <c r="T22" s="24" t="s">
        <v>204</v>
      </c>
      <c r="U22" s="24" t="s">
        <v>210</v>
      </c>
      <c r="V22" s="24" t="s">
        <v>273</v>
      </c>
      <c r="W22" s="24" t="s">
        <v>190</v>
      </c>
      <c r="X22" s="24" t="s">
        <v>206</v>
      </c>
      <c r="Y22" s="24" t="s">
        <v>265</v>
      </c>
      <c r="Z22" s="24" t="s">
        <v>198</v>
      </c>
      <c r="AA22" s="25">
        <v>43578.915784722223</v>
      </c>
    </row>
    <row r="23" spans="1:27">
      <c r="A23" s="23">
        <v>79</v>
      </c>
      <c r="B23" s="24" t="s">
        <v>266</v>
      </c>
      <c r="C23" s="24" t="s">
        <v>267</v>
      </c>
      <c r="D23" s="24" t="s">
        <v>268</v>
      </c>
      <c r="E23" s="24" t="s">
        <v>190</v>
      </c>
      <c r="F23" s="24" t="s">
        <v>192</v>
      </c>
      <c r="G23" s="24" t="s">
        <v>272</v>
      </c>
      <c r="H23" s="24" t="s">
        <v>193</v>
      </c>
      <c r="I23" s="24" t="s">
        <v>231</v>
      </c>
      <c r="J23" s="24" t="s">
        <v>270</v>
      </c>
      <c r="K23" s="24" t="s">
        <v>195</v>
      </c>
      <c r="L23" s="24" t="s">
        <v>191</v>
      </c>
      <c r="M23" s="24" t="s">
        <v>190</v>
      </c>
      <c r="N23" s="24" t="s">
        <v>190</v>
      </c>
      <c r="O23" s="24" t="s">
        <v>190</v>
      </c>
      <c r="P23" s="24" t="s">
        <v>190</v>
      </c>
      <c r="Q23" s="24" t="s">
        <v>191</v>
      </c>
      <c r="R23" s="24" t="s">
        <v>190</v>
      </c>
      <c r="S23" s="24" t="s">
        <v>190</v>
      </c>
      <c r="T23" s="24" t="s">
        <v>204</v>
      </c>
      <c r="U23" s="24" t="s">
        <v>210</v>
      </c>
      <c r="V23" s="24" t="s">
        <v>271</v>
      </c>
      <c r="W23" s="24" t="s">
        <v>190</v>
      </c>
      <c r="X23" s="24" t="s">
        <v>219</v>
      </c>
      <c r="Y23" s="24" t="s">
        <v>265</v>
      </c>
      <c r="Z23" s="24" t="s">
        <v>198</v>
      </c>
      <c r="AA23" s="25">
        <v>43578.915781018521</v>
      </c>
    </row>
    <row r="24" spans="1:27">
      <c r="A24" s="23">
        <v>78</v>
      </c>
      <c r="B24" s="24" t="s">
        <v>266</v>
      </c>
      <c r="C24" s="24" t="s">
        <v>267</v>
      </c>
      <c r="D24" s="24" t="s">
        <v>268</v>
      </c>
      <c r="E24" s="24" t="s">
        <v>190</v>
      </c>
      <c r="F24" s="24" t="s">
        <v>192</v>
      </c>
      <c r="G24" s="24" t="s">
        <v>269</v>
      </c>
      <c r="H24" s="24" t="s">
        <v>193</v>
      </c>
      <c r="I24" s="24" t="s">
        <v>231</v>
      </c>
      <c r="J24" s="24" t="s">
        <v>270</v>
      </c>
      <c r="K24" s="24" t="s">
        <v>195</v>
      </c>
      <c r="L24" s="24" t="s">
        <v>191</v>
      </c>
      <c r="M24" s="24" t="s">
        <v>190</v>
      </c>
      <c r="N24" s="24" t="s">
        <v>190</v>
      </c>
      <c r="O24" s="24" t="s">
        <v>190</v>
      </c>
      <c r="P24" s="24" t="s">
        <v>190</v>
      </c>
      <c r="Q24" s="24" t="s">
        <v>191</v>
      </c>
      <c r="R24" s="24" t="s">
        <v>190</v>
      </c>
      <c r="S24" s="24" t="s">
        <v>190</v>
      </c>
      <c r="T24" s="24" t="s">
        <v>204</v>
      </c>
      <c r="U24" s="24" t="s">
        <v>210</v>
      </c>
      <c r="V24" s="24" t="s">
        <v>271</v>
      </c>
      <c r="W24" s="24" t="s">
        <v>190</v>
      </c>
      <c r="X24" s="24" t="s">
        <v>219</v>
      </c>
      <c r="Y24" s="24" t="s">
        <v>265</v>
      </c>
      <c r="Z24" s="24" t="s">
        <v>198</v>
      </c>
      <c r="AA24" s="25">
        <v>43578.915665509259</v>
      </c>
    </row>
    <row r="25" spans="1:27">
      <c r="A25" s="23">
        <v>77</v>
      </c>
      <c r="B25" s="24" t="s">
        <v>236</v>
      </c>
      <c r="C25" s="24" t="s">
        <v>237</v>
      </c>
      <c r="D25" s="24" t="s">
        <v>229</v>
      </c>
      <c r="E25" s="24" t="s">
        <v>230</v>
      </c>
      <c r="F25" s="24" t="s">
        <v>192</v>
      </c>
      <c r="G25" s="24" t="s">
        <v>235</v>
      </c>
      <c r="H25" s="24" t="s">
        <v>193</v>
      </c>
      <c r="I25" s="24" t="s">
        <v>231</v>
      </c>
      <c r="J25" s="24" t="s">
        <v>196</v>
      </c>
      <c r="K25" s="24" t="s">
        <v>195</v>
      </c>
      <c r="L25" s="24" t="s">
        <v>191</v>
      </c>
      <c r="M25" s="24" t="s">
        <v>190</v>
      </c>
      <c r="N25" s="24" t="s">
        <v>190</v>
      </c>
      <c r="O25" s="24" t="s">
        <v>190</v>
      </c>
      <c r="P25" s="24" t="s">
        <v>190</v>
      </c>
      <c r="Q25" s="24" t="s">
        <v>193</v>
      </c>
      <c r="R25" s="24" t="s">
        <v>215</v>
      </c>
      <c r="S25" s="24" t="s">
        <v>261</v>
      </c>
      <c r="T25" s="24" t="s">
        <v>262</v>
      </c>
      <c r="U25" s="24" t="s">
        <v>210</v>
      </c>
      <c r="V25" s="24" t="s">
        <v>249</v>
      </c>
      <c r="W25" s="24" t="s">
        <v>190</v>
      </c>
      <c r="X25" s="24" t="s">
        <v>217</v>
      </c>
      <c r="Y25" s="24" t="s">
        <v>259</v>
      </c>
      <c r="Z25" s="24" t="s">
        <v>198</v>
      </c>
      <c r="AA25" s="25">
        <v>43577.922484374998</v>
      </c>
    </row>
    <row r="26" spans="1:27">
      <c r="A26" s="23">
        <v>76</v>
      </c>
      <c r="B26" s="24" t="s">
        <v>236</v>
      </c>
      <c r="C26" s="24" t="s">
        <v>237</v>
      </c>
      <c r="D26" s="24" t="s">
        <v>229</v>
      </c>
      <c r="E26" s="24" t="s">
        <v>230</v>
      </c>
      <c r="F26" s="24" t="s">
        <v>192</v>
      </c>
      <c r="G26" s="24" t="s">
        <v>238</v>
      </c>
      <c r="H26" s="24" t="s">
        <v>193</v>
      </c>
      <c r="I26" s="24" t="s">
        <v>231</v>
      </c>
      <c r="J26" s="24" t="s">
        <v>196</v>
      </c>
      <c r="K26" s="24" t="s">
        <v>195</v>
      </c>
      <c r="L26" s="24" t="s">
        <v>191</v>
      </c>
      <c r="M26" s="24" t="s">
        <v>190</v>
      </c>
      <c r="N26" s="24" t="s">
        <v>190</v>
      </c>
      <c r="O26" s="24" t="s">
        <v>190</v>
      </c>
      <c r="P26" s="24" t="s">
        <v>190</v>
      </c>
      <c r="Q26" s="24" t="s">
        <v>193</v>
      </c>
      <c r="R26" s="24" t="s">
        <v>215</v>
      </c>
      <c r="S26" s="24" t="s">
        <v>261</v>
      </c>
      <c r="T26" s="24" t="s">
        <v>262</v>
      </c>
      <c r="U26" s="24" t="s">
        <v>210</v>
      </c>
      <c r="V26" s="24" t="s">
        <v>249</v>
      </c>
      <c r="W26" s="24" t="s">
        <v>190</v>
      </c>
      <c r="X26" s="24" t="s">
        <v>217</v>
      </c>
      <c r="Y26" s="24" t="s">
        <v>259</v>
      </c>
      <c r="Z26" s="24" t="s">
        <v>198</v>
      </c>
      <c r="AA26" s="25">
        <v>43577.92248090278</v>
      </c>
    </row>
    <row r="27" spans="1:27">
      <c r="A27" s="23">
        <v>75</v>
      </c>
      <c r="B27" s="24" t="s">
        <v>236</v>
      </c>
      <c r="C27" s="24" t="s">
        <v>237</v>
      </c>
      <c r="D27" s="24" t="s">
        <v>229</v>
      </c>
      <c r="E27" s="24" t="s">
        <v>230</v>
      </c>
      <c r="F27" s="24" t="s">
        <v>192</v>
      </c>
      <c r="G27" s="24" t="s">
        <v>239</v>
      </c>
      <c r="H27" s="24" t="s">
        <v>193</v>
      </c>
      <c r="I27" s="24" t="s">
        <v>231</v>
      </c>
      <c r="J27" s="24" t="s">
        <v>196</v>
      </c>
      <c r="K27" s="24" t="s">
        <v>195</v>
      </c>
      <c r="L27" s="24" t="s">
        <v>191</v>
      </c>
      <c r="M27" s="24" t="s">
        <v>190</v>
      </c>
      <c r="N27" s="24" t="s">
        <v>190</v>
      </c>
      <c r="O27" s="24" t="s">
        <v>190</v>
      </c>
      <c r="P27" s="24" t="s">
        <v>190</v>
      </c>
      <c r="Q27" s="24" t="s">
        <v>193</v>
      </c>
      <c r="R27" s="24" t="s">
        <v>215</v>
      </c>
      <c r="S27" s="24" t="s">
        <v>261</v>
      </c>
      <c r="T27" s="24" t="s">
        <v>262</v>
      </c>
      <c r="U27" s="24" t="s">
        <v>210</v>
      </c>
      <c r="V27" s="24" t="s">
        <v>249</v>
      </c>
      <c r="W27" s="24" t="s">
        <v>190</v>
      </c>
      <c r="X27" s="24" t="s">
        <v>217</v>
      </c>
      <c r="Y27" s="24" t="s">
        <v>259</v>
      </c>
      <c r="Z27" s="24" t="s">
        <v>198</v>
      </c>
      <c r="AA27" s="25">
        <v>43577.922326851854</v>
      </c>
    </row>
    <row r="28" spans="1:27">
      <c r="A28" s="23">
        <v>74</v>
      </c>
      <c r="B28" s="24" t="s">
        <v>236</v>
      </c>
      <c r="C28" s="24" t="s">
        <v>237</v>
      </c>
      <c r="D28" s="24" t="s">
        <v>229</v>
      </c>
      <c r="E28" s="24" t="s">
        <v>230</v>
      </c>
      <c r="F28" s="24" t="s">
        <v>192</v>
      </c>
      <c r="G28" s="24" t="s">
        <v>239</v>
      </c>
      <c r="H28" s="24" t="s">
        <v>193</v>
      </c>
      <c r="I28" s="24" t="s">
        <v>231</v>
      </c>
      <c r="J28" s="24" t="s">
        <v>196</v>
      </c>
      <c r="K28" s="24" t="s">
        <v>195</v>
      </c>
      <c r="L28" s="24" t="s">
        <v>191</v>
      </c>
      <c r="M28" s="24" t="s">
        <v>190</v>
      </c>
      <c r="N28" s="24" t="s">
        <v>190</v>
      </c>
      <c r="O28" s="24" t="s">
        <v>190</v>
      </c>
      <c r="P28" s="24" t="s">
        <v>190</v>
      </c>
      <c r="Q28" s="24" t="s">
        <v>193</v>
      </c>
      <c r="R28" s="24" t="s">
        <v>215</v>
      </c>
      <c r="S28" s="24" t="s">
        <v>261</v>
      </c>
      <c r="T28" s="24" t="s">
        <v>262</v>
      </c>
      <c r="U28" s="24" t="s">
        <v>210</v>
      </c>
      <c r="V28" s="24" t="s">
        <v>247</v>
      </c>
      <c r="W28" s="24" t="s">
        <v>190</v>
      </c>
      <c r="X28" s="24" t="s">
        <v>217</v>
      </c>
      <c r="Y28" s="24" t="s">
        <v>259</v>
      </c>
      <c r="Z28" s="24" t="s">
        <v>198</v>
      </c>
      <c r="AA28" s="25">
        <v>43577.921688425929</v>
      </c>
    </row>
    <row r="29" spans="1:27">
      <c r="A29" s="23">
        <v>73</v>
      </c>
      <c r="B29" s="24" t="s">
        <v>236</v>
      </c>
      <c r="C29" s="24" t="s">
        <v>237</v>
      </c>
      <c r="D29" s="24" t="s">
        <v>229</v>
      </c>
      <c r="E29" s="24" t="s">
        <v>230</v>
      </c>
      <c r="F29" s="24" t="s">
        <v>192</v>
      </c>
      <c r="G29" s="24" t="s">
        <v>264</v>
      </c>
      <c r="H29" s="24" t="s">
        <v>193</v>
      </c>
      <c r="I29" s="24" t="s">
        <v>231</v>
      </c>
      <c r="J29" s="24" t="s">
        <v>196</v>
      </c>
      <c r="K29" s="24" t="s">
        <v>195</v>
      </c>
      <c r="L29" s="24" t="s">
        <v>191</v>
      </c>
      <c r="M29" s="24" t="s">
        <v>190</v>
      </c>
      <c r="N29" s="24" t="s">
        <v>190</v>
      </c>
      <c r="O29" s="24" t="s">
        <v>190</v>
      </c>
      <c r="P29" s="24" t="s">
        <v>190</v>
      </c>
      <c r="Q29" s="24" t="s">
        <v>193</v>
      </c>
      <c r="R29" s="24" t="s">
        <v>215</v>
      </c>
      <c r="S29" s="24" t="s">
        <v>261</v>
      </c>
      <c r="T29" s="24" t="s">
        <v>262</v>
      </c>
      <c r="U29" s="24" t="s">
        <v>210</v>
      </c>
      <c r="V29" s="24" t="s">
        <v>247</v>
      </c>
      <c r="W29" s="24" t="s">
        <v>190</v>
      </c>
      <c r="X29" s="24" t="s">
        <v>217</v>
      </c>
      <c r="Y29" s="24" t="s">
        <v>259</v>
      </c>
      <c r="Z29" s="24" t="s">
        <v>198</v>
      </c>
      <c r="AA29" s="25">
        <v>43577.921685416666</v>
      </c>
    </row>
    <row r="30" spans="1:27">
      <c r="A30" s="23">
        <v>72</v>
      </c>
      <c r="B30" s="24" t="s">
        <v>236</v>
      </c>
      <c r="C30" s="24" t="s">
        <v>237</v>
      </c>
      <c r="D30" s="24" t="s">
        <v>229</v>
      </c>
      <c r="E30" s="24" t="s">
        <v>230</v>
      </c>
      <c r="F30" s="24" t="s">
        <v>192</v>
      </c>
      <c r="G30" s="24" t="s">
        <v>235</v>
      </c>
      <c r="H30" s="24" t="s">
        <v>193</v>
      </c>
      <c r="I30" s="24" t="s">
        <v>231</v>
      </c>
      <c r="J30" s="24" t="s">
        <v>196</v>
      </c>
      <c r="K30" s="24" t="s">
        <v>195</v>
      </c>
      <c r="L30" s="24" t="s">
        <v>191</v>
      </c>
      <c r="M30" s="24" t="s">
        <v>190</v>
      </c>
      <c r="N30" s="24" t="s">
        <v>190</v>
      </c>
      <c r="O30" s="24" t="s">
        <v>190</v>
      </c>
      <c r="P30" s="24" t="s">
        <v>190</v>
      </c>
      <c r="Q30" s="24" t="s">
        <v>193</v>
      </c>
      <c r="R30" s="24" t="s">
        <v>215</v>
      </c>
      <c r="S30" s="24" t="s">
        <v>261</v>
      </c>
      <c r="T30" s="24" t="s">
        <v>262</v>
      </c>
      <c r="U30" s="24" t="s">
        <v>210</v>
      </c>
      <c r="V30" s="24" t="s">
        <v>247</v>
      </c>
      <c r="W30" s="24" t="s">
        <v>190</v>
      </c>
      <c r="X30" s="24" t="s">
        <v>217</v>
      </c>
      <c r="Y30" s="24" t="s">
        <v>259</v>
      </c>
      <c r="Z30" s="24" t="s">
        <v>198</v>
      </c>
      <c r="AA30" s="25">
        <v>43577.921682175926</v>
      </c>
    </row>
    <row r="31" spans="1:27">
      <c r="A31" s="23">
        <v>71</v>
      </c>
      <c r="B31" s="24" t="s">
        <v>236</v>
      </c>
      <c r="C31" s="24" t="s">
        <v>237</v>
      </c>
      <c r="D31" s="24" t="s">
        <v>229</v>
      </c>
      <c r="E31" s="24" t="s">
        <v>230</v>
      </c>
      <c r="F31" s="24" t="s">
        <v>192</v>
      </c>
      <c r="G31" s="24" t="s">
        <v>235</v>
      </c>
      <c r="H31" s="24" t="s">
        <v>193</v>
      </c>
      <c r="I31" s="24" t="s">
        <v>231</v>
      </c>
      <c r="J31" s="24" t="s">
        <v>196</v>
      </c>
      <c r="K31" s="24" t="s">
        <v>195</v>
      </c>
      <c r="L31" s="24" t="s">
        <v>191</v>
      </c>
      <c r="M31" s="24" t="s">
        <v>190</v>
      </c>
      <c r="N31" s="24" t="s">
        <v>190</v>
      </c>
      <c r="O31" s="24" t="s">
        <v>190</v>
      </c>
      <c r="P31" s="24" t="s">
        <v>190</v>
      </c>
      <c r="Q31" s="24" t="s">
        <v>193</v>
      </c>
      <c r="R31" s="24" t="s">
        <v>215</v>
      </c>
      <c r="S31" s="24" t="s">
        <v>261</v>
      </c>
      <c r="T31" s="24" t="s">
        <v>262</v>
      </c>
      <c r="U31" s="24" t="s">
        <v>210</v>
      </c>
      <c r="V31" s="24" t="s">
        <v>246</v>
      </c>
      <c r="W31" s="24" t="s">
        <v>190</v>
      </c>
      <c r="X31" s="24" t="s">
        <v>217</v>
      </c>
      <c r="Y31" s="24" t="s">
        <v>259</v>
      </c>
      <c r="Z31" s="24" t="s">
        <v>198</v>
      </c>
      <c r="AA31" s="25">
        <v>43577.921679166669</v>
      </c>
    </row>
    <row r="32" spans="1:27">
      <c r="A32" s="23">
        <v>70</v>
      </c>
      <c r="B32" s="24" t="s">
        <v>236</v>
      </c>
      <c r="C32" s="24" t="s">
        <v>237</v>
      </c>
      <c r="D32" s="24" t="s">
        <v>229</v>
      </c>
      <c r="E32" s="24" t="s">
        <v>230</v>
      </c>
      <c r="F32" s="24" t="s">
        <v>192</v>
      </c>
      <c r="G32" s="24" t="s">
        <v>238</v>
      </c>
      <c r="H32" s="24" t="s">
        <v>193</v>
      </c>
      <c r="I32" s="24" t="s">
        <v>231</v>
      </c>
      <c r="J32" s="24" t="s">
        <v>196</v>
      </c>
      <c r="K32" s="24" t="s">
        <v>195</v>
      </c>
      <c r="L32" s="24" t="s">
        <v>191</v>
      </c>
      <c r="M32" s="24" t="s">
        <v>190</v>
      </c>
      <c r="N32" s="24" t="s">
        <v>190</v>
      </c>
      <c r="O32" s="24" t="s">
        <v>190</v>
      </c>
      <c r="P32" s="24" t="s">
        <v>190</v>
      </c>
      <c r="Q32" s="24" t="s">
        <v>193</v>
      </c>
      <c r="R32" s="24" t="s">
        <v>215</v>
      </c>
      <c r="S32" s="24" t="s">
        <v>261</v>
      </c>
      <c r="T32" s="24" t="s">
        <v>262</v>
      </c>
      <c r="U32" s="24" t="s">
        <v>210</v>
      </c>
      <c r="V32" s="24" t="s">
        <v>246</v>
      </c>
      <c r="W32" s="24" t="s">
        <v>190</v>
      </c>
      <c r="X32" s="24" t="s">
        <v>217</v>
      </c>
      <c r="Y32" s="24" t="s">
        <v>259</v>
      </c>
      <c r="Z32" s="24" t="s">
        <v>198</v>
      </c>
      <c r="AA32" s="25">
        <v>43577.921676157406</v>
      </c>
    </row>
    <row r="33" spans="1:27">
      <c r="A33" s="23">
        <v>69</v>
      </c>
      <c r="B33" s="24" t="s">
        <v>236</v>
      </c>
      <c r="C33" s="24" t="s">
        <v>237</v>
      </c>
      <c r="D33" s="24" t="s">
        <v>229</v>
      </c>
      <c r="E33" s="24" t="s">
        <v>230</v>
      </c>
      <c r="F33" s="24" t="s">
        <v>192</v>
      </c>
      <c r="G33" s="24" t="s">
        <v>239</v>
      </c>
      <c r="H33" s="24" t="s">
        <v>193</v>
      </c>
      <c r="I33" s="24" t="s">
        <v>231</v>
      </c>
      <c r="J33" s="24" t="s">
        <v>196</v>
      </c>
      <c r="K33" s="24" t="s">
        <v>195</v>
      </c>
      <c r="L33" s="24" t="s">
        <v>191</v>
      </c>
      <c r="M33" s="24" t="s">
        <v>190</v>
      </c>
      <c r="N33" s="24" t="s">
        <v>190</v>
      </c>
      <c r="O33" s="24" t="s">
        <v>190</v>
      </c>
      <c r="P33" s="24" t="s">
        <v>190</v>
      </c>
      <c r="Q33" s="24" t="s">
        <v>193</v>
      </c>
      <c r="R33" s="24" t="s">
        <v>215</v>
      </c>
      <c r="S33" s="24" t="s">
        <v>261</v>
      </c>
      <c r="T33" s="24" t="s">
        <v>262</v>
      </c>
      <c r="U33" s="24" t="s">
        <v>210</v>
      </c>
      <c r="V33" s="24" t="s">
        <v>246</v>
      </c>
      <c r="W33" s="24" t="s">
        <v>190</v>
      </c>
      <c r="X33" s="24" t="s">
        <v>217</v>
      </c>
      <c r="Y33" s="24" t="s">
        <v>259</v>
      </c>
      <c r="Z33" s="24" t="s">
        <v>198</v>
      </c>
      <c r="AA33" s="25">
        <v>43577.921672685188</v>
      </c>
    </row>
    <row r="34" spans="1:27">
      <c r="A34" s="23">
        <v>68</v>
      </c>
      <c r="B34" s="24" t="s">
        <v>236</v>
      </c>
      <c r="C34" s="24" t="s">
        <v>237</v>
      </c>
      <c r="D34" s="24" t="s">
        <v>229</v>
      </c>
      <c r="E34" s="24" t="s">
        <v>230</v>
      </c>
      <c r="F34" s="24" t="s">
        <v>192</v>
      </c>
      <c r="G34" s="24" t="s">
        <v>239</v>
      </c>
      <c r="H34" s="24" t="s">
        <v>193</v>
      </c>
      <c r="I34" s="24" t="s">
        <v>231</v>
      </c>
      <c r="J34" s="24" t="s">
        <v>196</v>
      </c>
      <c r="K34" s="24" t="s">
        <v>195</v>
      </c>
      <c r="L34" s="24" t="s">
        <v>191</v>
      </c>
      <c r="M34" s="24" t="s">
        <v>190</v>
      </c>
      <c r="N34" s="24" t="s">
        <v>190</v>
      </c>
      <c r="O34" s="24" t="s">
        <v>190</v>
      </c>
      <c r="P34" s="24" t="s">
        <v>190</v>
      </c>
      <c r="Q34" s="24" t="s">
        <v>193</v>
      </c>
      <c r="R34" s="24" t="s">
        <v>215</v>
      </c>
      <c r="S34" s="24" t="s">
        <v>261</v>
      </c>
      <c r="T34" s="24" t="s">
        <v>262</v>
      </c>
      <c r="U34" s="24" t="s">
        <v>210</v>
      </c>
      <c r="V34" s="24" t="s">
        <v>263</v>
      </c>
      <c r="W34" s="24" t="s">
        <v>190</v>
      </c>
      <c r="X34" s="24" t="s">
        <v>217</v>
      </c>
      <c r="Y34" s="24" t="s">
        <v>259</v>
      </c>
      <c r="Z34" s="24" t="s">
        <v>198</v>
      </c>
      <c r="AA34" s="25">
        <v>43577.921669328702</v>
      </c>
    </row>
    <row r="35" spans="1:27">
      <c r="A35" s="23">
        <v>67</v>
      </c>
      <c r="B35" s="24" t="s">
        <v>236</v>
      </c>
      <c r="C35" s="24" t="s">
        <v>237</v>
      </c>
      <c r="D35" s="24" t="s">
        <v>229</v>
      </c>
      <c r="E35" s="24" t="s">
        <v>230</v>
      </c>
      <c r="F35" s="24" t="s">
        <v>192</v>
      </c>
      <c r="G35" s="24" t="s">
        <v>264</v>
      </c>
      <c r="H35" s="24" t="s">
        <v>193</v>
      </c>
      <c r="I35" s="24" t="s">
        <v>231</v>
      </c>
      <c r="J35" s="24" t="s">
        <v>196</v>
      </c>
      <c r="K35" s="24" t="s">
        <v>195</v>
      </c>
      <c r="L35" s="24" t="s">
        <v>191</v>
      </c>
      <c r="M35" s="24" t="s">
        <v>190</v>
      </c>
      <c r="N35" s="24" t="s">
        <v>190</v>
      </c>
      <c r="O35" s="24" t="s">
        <v>190</v>
      </c>
      <c r="P35" s="24" t="s">
        <v>190</v>
      </c>
      <c r="Q35" s="24" t="s">
        <v>193</v>
      </c>
      <c r="R35" s="24" t="s">
        <v>215</v>
      </c>
      <c r="S35" s="24" t="s">
        <v>261</v>
      </c>
      <c r="T35" s="24" t="s">
        <v>262</v>
      </c>
      <c r="U35" s="24" t="s">
        <v>210</v>
      </c>
      <c r="V35" s="24" t="s">
        <v>263</v>
      </c>
      <c r="W35" s="24" t="s">
        <v>190</v>
      </c>
      <c r="X35" s="24" t="s">
        <v>217</v>
      </c>
      <c r="Y35" s="24" t="s">
        <v>259</v>
      </c>
      <c r="Z35" s="24" t="s">
        <v>198</v>
      </c>
      <c r="AA35" s="25">
        <v>43577.921665856484</v>
      </c>
    </row>
    <row r="36" spans="1:27">
      <c r="A36" s="23">
        <v>66</v>
      </c>
      <c r="B36" s="24" t="s">
        <v>236</v>
      </c>
      <c r="C36" s="24" t="s">
        <v>237</v>
      </c>
      <c r="D36" s="24" t="s">
        <v>229</v>
      </c>
      <c r="E36" s="24" t="s">
        <v>230</v>
      </c>
      <c r="F36" s="24" t="s">
        <v>192</v>
      </c>
      <c r="G36" s="24" t="s">
        <v>235</v>
      </c>
      <c r="H36" s="24" t="s">
        <v>193</v>
      </c>
      <c r="I36" s="24" t="s">
        <v>231</v>
      </c>
      <c r="J36" s="24" t="s">
        <v>196</v>
      </c>
      <c r="K36" s="24" t="s">
        <v>195</v>
      </c>
      <c r="L36" s="24" t="s">
        <v>191</v>
      </c>
      <c r="M36" s="24" t="s">
        <v>190</v>
      </c>
      <c r="N36" s="24" t="s">
        <v>190</v>
      </c>
      <c r="O36" s="24" t="s">
        <v>190</v>
      </c>
      <c r="P36" s="24" t="s">
        <v>190</v>
      </c>
      <c r="Q36" s="24" t="s">
        <v>193</v>
      </c>
      <c r="R36" s="24" t="s">
        <v>215</v>
      </c>
      <c r="S36" s="24" t="s">
        <v>261</v>
      </c>
      <c r="T36" s="24" t="s">
        <v>262</v>
      </c>
      <c r="U36" s="24" t="s">
        <v>210</v>
      </c>
      <c r="V36" s="24" t="s">
        <v>263</v>
      </c>
      <c r="W36" s="24" t="s">
        <v>190</v>
      </c>
      <c r="X36" s="24" t="s">
        <v>217</v>
      </c>
      <c r="Y36" s="24" t="s">
        <v>259</v>
      </c>
      <c r="Z36" s="24" t="s">
        <v>198</v>
      </c>
      <c r="AA36" s="25">
        <v>43577.921624421295</v>
      </c>
    </row>
    <row r="37" spans="1:27">
      <c r="A37" s="23">
        <v>65</v>
      </c>
      <c r="B37" s="24" t="s">
        <v>236</v>
      </c>
      <c r="C37" s="24" t="s">
        <v>237</v>
      </c>
      <c r="D37" s="24" t="s">
        <v>229</v>
      </c>
      <c r="E37" s="24" t="s">
        <v>230</v>
      </c>
      <c r="F37" s="24" t="s">
        <v>192</v>
      </c>
      <c r="G37" s="24" t="s">
        <v>235</v>
      </c>
      <c r="H37" s="24" t="s">
        <v>193</v>
      </c>
      <c r="I37" s="24" t="s">
        <v>231</v>
      </c>
      <c r="J37" s="24" t="s">
        <v>196</v>
      </c>
      <c r="K37" s="24" t="s">
        <v>195</v>
      </c>
      <c r="L37" s="24" t="s">
        <v>191</v>
      </c>
      <c r="M37" s="24" t="s">
        <v>190</v>
      </c>
      <c r="N37" s="24" t="s">
        <v>190</v>
      </c>
      <c r="O37" s="24" t="s">
        <v>190</v>
      </c>
      <c r="P37" s="24" t="s">
        <v>190</v>
      </c>
      <c r="Q37" s="24" t="s">
        <v>193</v>
      </c>
      <c r="R37" s="24" t="s">
        <v>215</v>
      </c>
      <c r="S37" s="24" t="s">
        <v>261</v>
      </c>
      <c r="T37" s="24" t="s">
        <v>262</v>
      </c>
      <c r="U37" s="24" t="s">
        <v>210</v>
      </c>
      <c r="V37" s="24" t="s">
        <v>244</v>
      </c>
      <c r="W37" s="24" t="s">
        <v>190</v>
      </c>
      <c r="X37" s="24" t="s">
        <v>217</v>
      </c>
      <c r="Y37" s="24" t="s">
        <v>259</v>
      </c>
      <c r="Z37" s="24" t="s">
        <v>198</v>
      </c>
      <c r="AA37" s="25">
        <v>43577.917670486109</v>
      </c>
    </row>
    <row r="38" spans="1:27">
      <c r="A38" s="23">
        <v>64</v>
      </c>
      <c r="B38" s="24" t="s">
        <v>236</v>
      </c>
      <c r="C38" s="24" t="s">
        <v>237</v>
      </c>
      <c r="D38" s="24" t="s">
        <v>229</v>
      </c>
      <c r="E38" s="24" t="s">
        <v>230</v>
      </c>
      <c r="F38" s="24" t="s">
        <v>192</v>
      </c>
      <c r="G38" s="24" t="s">
        <v>238</v>
      </c>
      <c r="H38" s="24" t="s">
        <v>193</v>
      </c>
      <c r="I38" s="24" t="s">
        <v>231</v>
      </c>
      <c r="J38" s="24" t="s">
        <v>196</v>
      </c>
      <c r="K38" s="24" t="s">
        <v>195</v>
      </c>
      <c r="L38" s="24" t="s">
        <v>191</v>
      </c>
      <c r="M38" s="24" t="s">
        <v>190</v>
      </c>
      <c r="N38" s="24" t="s">
        <v>190</v>
      </c>
      <c r="O38" s="24" t="s">
        <v>190</v>
      </c>
      <c r="P38" s="24" t="s">
        <v>190</v>
      </c>
      <c r="Q38" s="24" t="s">
        <v>193</v>
      </c>
      <c r="R38" s="24" t="s">
        <v>215</v>
      </c>
      <c r="S38" s="24" t="s">
        <v>261</v>
      </c>
      <c r="T38" s="24" t="s">
        <v>262</v>
      </c>
      <c r="U38" s="24" t="s">
        <v>210</v>
      </c>
      <c r="V38" s="24" t="s">
        <v>244</v>
      </c>
      <c r="W38" s="24" t="s">
        <v>190</v>
      </c>
      <c r="X38" s="24" t="s">
        <v>217</v>
      </c>
      <c r="Y38" s="24" t="s">
        <v>259</v>
      </c>
      <c r="Z38" s="24" t="s">
        <v>198</v>
      </c>
      <c r="AA38" s="25">
        <v>43577.917667592592</v>
      </c>
    </row>
    <row r="39" spans="1:27">
      <c r="A39" s="23">
        <v>63</v>
      </c>
      <c r="B39" s="24" t="s">
        <v>236</v>
      </c>
      <c r="C39" s="24" t="s">
        <v>237</v>
      </c>
      <c r="D39" s="24" t="s">
        <v>229</v>
      </c>
      <c r="E39" s="24" t="s">
        <v>230</v>
      </c>
      <c r="F39" s="24" t="s">
        <v>192</v>
      </c>
      <c r="G39" s="24" t="s">
        <v>239</v>
      </c>
      <c r="H39" s="24" t="s">
        <v>193</v>
      </c>
      <c r="I39" s="24" t="s">
        <v>231</v>
      </c>
      <c r="J39" s="24" t="s">
        <v>196</v>
      </c>
      <c r="K39" s="24" t="s">
        <v>195</v>
      </c>
      <c r="L39" s="24" t="s">
        <v>191</v>
      </c>
      <c r="M39" s="24" t="s">
        <v>190</v>
      </c>
      <c r="N39" s="24" t="s">
        <v>190</v>
      </c>
      <c r="O39" s="24" t="s">
        <v>190</v>
      </c>
      <c r="P39" s="24" t="s">
        <v>190</v>
      </c>
      <c r="Q39" s="24" t="s">
        <v>193</v>
      </c>
      <c r="R39" s="24" t="s">
        <v>215</v>
      </c>
      <c r="S39" s="24" t="s">
        <v>261</v>
      </c>
      <c r="T39" s="24" t="s">
        <v>262</v>
      </c>
      <c r="U39" s="24" t="s">
        <v>210</v>
      </c>
      <c r="V39" s="24" t="s">
        <v>244</v>
      </c>
      <c r="W39" s="24" t="s">
        <v>190</v>
      </c>
      <c r="X39" s="24" t="s">
        <v>217</v>
      </c>
      <c r="Y39" s="24" t="s">
        <v>259</v>
      </c>
      <c r="Z39" s="24" t="s">
        <v>198</v>
      </c>
      <c r="AA39" s="25">
        <v>43577.917664699075</v>
      </c>
    </row>
    <row r="40" spans="1:27">
      <c r="A40" s="23">
        <v>62</v>
      </c>
      <c r="B40" s="24" t="s">
        <v>236</v>
      </c>
      <c r="C40" s="24" t="s">
        <v>237</v>
      </c>
      <c r="D40" s="24" t="s">
        <v>229</v>
      </c>
      <c r="E40" s="24" t="s">
        <v>230</v>
      </c>
      <c r="F40" s="24" t="s">
        <v>192</v>
      </c>
      <c r="G40" s="24" t="s">
        <v>239</v>
      </c>
      <c r="H40" s="24" t="s">
        <v>193</v>
      </c>
      <c r="I40" s="24" t="s">
        <v>231</v>
      </c>
      <c r="J40" s="24" t="s">
        <v>196</v>
      </c>
      <c r="K40" s="24" t="s">
        <v>195</v>
      </c>
      <c r="L40" s="24" t="s">
        <v>191</v>
      </c>
      <c r="M40" s="24" t="s">
        <v>190</v>
      </c>
      <c r="N40" s="24" t="s">
        <v>190</v>
      </c>
      <c r="O40" s="24" t="s">
        <v>190</v>
      </c>
      <c r="P40" s="24" t="s">
        <v>190</v>
      </c>
      <c r="Q40" s="24" t="s">
        <v>193</v>
      </c>
      <c r="R40" s="24" t="s">
        <v>215</v>
      </c>
      <c r="S40" s="24" t="s">
        <v>261</v>
      </c>
      <c r="T40" s="24" t="s">
        <v>262</v>
      </c>
      <c r="U40" s="24" t="s">
        <v>210</v>
      </c>
      <c r="V40" s="24" t="s">
        <v>243</v>
      </c>
      <c r="W40" s="24" t="s">
        <v>190</v>
      </c>
      <c r="X40" s="24" t="s">
        <v>217</v>
      </c>
      <c r="Y40" s="24" t="s">
        <v>259</v>
      </c>
      <c r="Z40" s="24" t="s">
        <v>198</v>
      </c>
      <c r="AA40" s="25">
        <v>43577.917661574073</v>
      </c>
    </row>
    <row r="41" spans="1:27">
      <c r="A41" s="23">
        <v>61</v>
      </c>
      <c r="B41" s="24" t="s">
        <v>236</v>
      </c>
      <c r="C41" s="24" t="s">
        <v>237</v>
      </c>
      <c r="D41" s="24" t="s">
        <v>229</v>
      </c>
      <c r="E41" s="24" t="s">
        <v>230</v>
      </c>
      <c r="F41" s="24" t="s">
        <v>192</v>
      </c>
      <c r="G41" s="24" t="s">
        <v>238</v>
      </c>
      <c r="H41" s="24" t="s">
        <v>193</v>
      </c>
      <c r="I41" s="24" t="s">
        <v>231</v>
      </c>
      <c r="J41" s="24" t="s">
        <v>196</v>
      </c>
      <c r="K41" s="24" t="s">
        <v>195</v>
      </c>
      <c r="L41" s="24" t="s">
        <v>191</v>
      </c>
      <c r="M41" s="24" t="s">
        <v>190</v>
      </c>
      <c r="N41" s="24" t="s">
        <v>190</v>
      </c>
      <c r="O41" s="24" t="s">
        <v>190</v>
      </c>
      <c r="P41" s="24" t="s">
        <v>190</v>
      </c>
      <c r="Q41" s="24" t="s">
        <v>193</v>
      </c>
      <c r="R41" s="24" t="s">
        <v>215</v>
      </c>
      <c r="S41" s="24" t="s">
        <v>261</v>
      </c>
      <c r="T41" s="24" t="s">
        <v>262</v>
      </c>
      <c r="U41" s="24" t="s">
        <v>210</v>
      </c>
      <c r="V41" s="24" t="s">
        <v>243</v>
      </c>
      <c r="W41" s="24" t="s">
        <v>190</v>
      </c>
      <c r="X41" s="24" t="s">
        <v>217</v>
      </c>
      <c r="Y41" s="24" t="s">
        <v>259</v>
      </c>
      <c r="Z41" s="24" t="s">
        <v>198</v>
      </c>
      <c r="AA41" s="25">
        <v>43577.917658680555</v>
      </c>
    </row>
    <row r="42" spans="1:27">
      <c r="A42" s="23">
        <v>60</v>
      </c>
      <c r="B42" s="24" t="s">
        <v>236</v>
      </c>
      <c r="C42" s="24" t="s">
        <v>237</v>
      </c>
      <c r="D42" s="24" t="s">
        <v>229</v>
      </c>
      <c r="E42" s="24" t="s">
        <v>230</v>
      </c>
      <c r="F42" s="24" t="s">
        <v>192</v>
      </c>
      <c r="G42" s="24" t="s">
        <v>235</v>
      </c>
      <c r="H42" s="24" t="s">
        <v>193</v>
      </c>
      <c r="I42" s="24" t="s">
        <v>231</v>
      </c>
      <c r="J42" s="24" t="s">
        <v>196</v>
      </c>
      <c r="K42" s="24" t="s">
        <v>195</v>
      </c>
      <c r="L42" s="24" t="s">
        <v>191</v>
      </c>
      <c r="M42" s="24" t="s">
        <v>190</v>
      </c>
      <c r="N42" s="24" t="s">
        <v>190</v>
      </c>
      <c r="O42" s="24" t="s">
        <v>190</v>
      </c>
      <c r="P42" s="24" t="s">
        <v>190</v>
      </c>
      <c r="Q42" s="24" t="s">
        <v>193</v>
      </c>
      <c r="R42" s="24" t="s">
        <v>215</v>
      </c>
      <c r="S42" s="24" t="s">
        <v>261</v>
      </c>
      <c r="T42" s="24" t="s">
        <v>262</v>
      </c>
      <c r="U42" s="24" t="s">
        <v>210</v>
      </c>
      <c r="V42" s="24" t="s">
        <v>243</v>
      </c>
      <c r="W42" s="24" t="s">
        <v>190</v>
      </c>
      <c r="X42" s="24" t="s">
        <v>217</v>
      </c>
      <c r="Y42" s="24" t="s">
        <v>259</v>
      </c>
      <c r="Z42" s="24" t="s">
        <v>198</v>
      </c>
      <c r="AA42" s="25">
        <v>43577.917654629629</v>
      </c>
    </row>
    <row r="43" spans="1:27">
      <c r="A43" s="23">
        <v>59</v>
      </c>
      <c r="B43" s="24" t="s">
        <v>236</v>
      </c>
      <c r="C43" s="24" t="s">
        <v>237</v>
      </c>
      <c r="D43" s="24" t="s">
        <v>229</v>
      </c>
      <c r="E43" s="24" t="s">
        <v>230</v>
      </c>
      <c r="F43" s="24" t="s">
        <v>192</v>
      </c>
      <c r="G43" s="24" t="s">
        <v>235</v>
      </c>
      <c r="H43" s="24" t="s">
        <v>193</v>
      </c>
      <c r="I43" s="24" t="s">
        <v>231</v>
      </c>
      <c r="J43" s="24" t="s">
        <v>196</v>
      </c>
      <c r="K43" s="24" t="s">
        <v>195</v>
      </c>
      <c r="L43" s="24" t="s">
        <v>191</v>
      </c>
      <c r="M43" s="24" t="s">
        <v>190</v>
      </c>
      <c r="N43" s="24" t="s">
        <v>190</v>
      </c>
      <c r="O43" s="24" t="s">
        <v>190</v>
      </c>
      <c r="P43" s="24" t="s">
        <v>190</v>
      </c>
      <c r="Q43" s="24" t="s">
        <v>193</v>
      </c>
      <c r="R43" s="24" t="s">
        <v>215</v>
      </c>
      <c r="S43" s="24" t="s">
        <v>261</v>
      </c>
      <c r="T43" s="24" t="s">
        <v>262</v>
      </c>
      <c r="U43" s="24" t="s">
        <v>210</v>
      </c>
      <c r="V43" s="24" t="s">
        <v>251</v>
      </c>
      <c r="W43" s="24" t="s">
        <v>190</v>
      </c>
      <c r="X43" s="24" t="s">
        <v>217</v>
      </c>
      <c r="Y43" s="24" t="s">
        <v>259</v>
      </c>
      <c r="Z43" s="24" t="s">
        <v>198</v>
      </c>
      <c r="AA43" s="25">
        <v>43577.917651157404</v>
      </c>
    </row>
    <row r="44" spans="1:27">
      <c r="A44" s="23">
        <v>58</v>
      </c>
      <c r="B44" s="24" t="s">
        <v>236</v>
      </c>
      <c r="C44" s="24" t="s">
        <v>237</v>
      </c>
      <c r="D44" s="24" t="s">
        <v>229</v>
      </c>
      <c r="E44" s="24" t="s">
        <v>230</v>
      </c>
      <c r="F44" s="24" t="s">
        <v>192</v>
      </c>
      <c r="G44" s="24" t="s">
        <v>238</v>
      </c>
      <c r="H44" s="24" t="s">
        <v>193</v>
      </c>
      <c r="I44" s="24" t="s">
        <v>231</v>
      </c>
      <c r="J44" s="24" t="s">
        <v>196</v>
      </c>
      <c r="K44" s="24" t="s">
        <v>195</v>
      </c>
      <c r="L44" s="24" t="s">
        <v>191</v>
      </c>
      <c r="M44" s="24" t="s">
        <v>190</v>
      </c>
      <c r="N44" s="24" t="s">
        <v>190</v>
      </c>
      <c r="O44" s="24" t="s">
        <v>190</v>
      </c>
      <c r="P44" s="24" t="s">
        <v>190</v>
      </c>
      <c r="Q44" s="24" t="s">
        <v>193</v>
      </c>
      <c r="R44" s="24" t="s">
        <v>215</v>
      </c>
      <c r="S44" s="24" t="s">
        <v>261</v>
      </c>
      <c r="T44" s="24" t="s">
        <v>262</v>
      </c>
      <c r="U44" s="24" t="s">
        <v>210</v>
      </c>
      <c r="V44" s="24" t="s">
        <v>251</v>
      </c>
      <c r="W44" s="24" t="s">
        <v>190</v>
      </c>
      <c r="X44" s="24" t="s">
        <v>217</v>
      </c>
      <c r="Y44" s="24" t="s">
        <v>259</v>
      </c>
      <c r="Z44" s="24" t="s">
        <v>198</v>
      </c>
      <c r="AA44" s="25">
        <v>43577.917646296293</v>
      </c>
    </row>
    <row r="45" spans="1:27">
      <c r="A45" s="23">
        <v>57</v>
      </c>
      <c r="B45" s="24" t="s">
        <v>236</v>
      </c>
      <c r="C45" s="24" t="s">
        <v>237</v>
      </c>
      <c r="D45" s="24" t="s">
        <v>229</v>
      </c>
      <c r="E45" s="24" t="s">
        <v>230</v>
      </c>
      <c r="F45" s="24" t="s">
        <v>192</v>
      </c>
      <c r="G45" s="24" t="s">
        <v>239</v>
      </c>
      <c r="H45" s="24" t="s">
        <v>193</v>
      </c>
      <c r="I45" s="24" t="s">
        <v>231</v>
      </c>
      <c r="J45" s="24" t="s">
        <v>196</v>
      </c>
      <c r="K45" s="24" t="s">
        <v>195</v>
      </c>
      <c r="L45" s="24" t="s">
        <v>191</v>
      </c>
      <c r="M45" s="24" t="s">
        <v>190</v>
      </c>
      <c r="N45" s="24" t="s">
        <v>190</v>
      </c>
      <c r="O45" s="24" t="s">
        <v>190</v>
      </c>
      <c r="P45" s="24" t="s">
        <v>190</v>
      </c>
      <c r="Q45" s="24" t="s">
        <v>193</v>
      </c>
      <c r="R45" s="24" t="s">
        <v>215</v>
      </c>
      <c r="S45" s="24" t="s">
        <v>261</v>
      </c>
      <c r="T45" s="24" t="s">
        <v>262</v>
      </c>
      <c r="U45" s="24" t="s">
        <v>210</v>
      </c>
      <c r="V45" s="24" t="s">
        <v>251</v>
      </c>
      <c r="W45" s="24" t="s">
        <v>190</v>
      </c>
      <c r="X45" s="24" t="s">
        <v>217</v>
      </c>
      <c r="Y45" s="24" t="s">
        <v>259</v>
      </c>
      <c r="Z45" s="24" t="s">
        <v>198</v>
      </c>
      <c r="AA45" s="25">
        <v>43577.917525694444</v>
      </c>
    </row>
    <row r="46" spans="1:27">
      <c r="A46" s="23">
        <v>56</v>
      </c>
      <c r="B46" s="24" t="s">
        <v>236</v>
      </c>
      <c r="C46" s="24" t="s">
        <v>237</v>
      </c>
      <c r="D46" s="24" t="s">
        <v>229</v>
      </c>
      <c r="E46" s="24" t="s">
        <v>230</v>
      </c>
      <c r="F46" s="24" t="s">
        <v>192</v>
      </c>
      <c r="G46" s="24" t="s">
        <v>239</v>
      </c>
      <c r="H46" s="24" t="s">
        <v>193</v>
      </c>
      <c r="I46" s="24" t="s">
        <v>231</v>
      </c>
      <c r="J46" s="24" t="s">
        <v>232</v>
      </c>
      <c r="K46" s="24" t="s">
        <v>195</v>
      </c>
      <c r="L46" s="24" t="s">
        <v>191</v>
      </c>
      <c r="M46" s="24" t="s">
        <v>190</v>
      </c>
      <c r="N46" s="24" t="s">
        <v>190</v>
      </c>
      <c r="O46" s="24" t="s">
        <v>190</v>
      </c>
      <c r="P46" s="24" t="s">
        <v>190</v>
      </c>
      <c r="Q46" s="24" t="s">
        <v>191</v>
      </c>
      <c r="R46" s="24" t="s">
        <v>190</v>
      </c>
      <c r="S46" s="24" t="s">
        <v>190</v>
      </c>
      <c r="T46" s="24" t="s">
        <v>204</v>
      </c>
      <c r="U46" s="24" t="s">
        <v>205</v>
      </c>
      <c r="V46" s="24" t="s">
        <v>257</v>
      </c>
      <c r="W46" s="24" t="s">
        <v>258</v>
      </c>
      <c r="X46" s="24" t="s">
        <v>219</v>
      </c>
      <c r="Y46" s="24" t="s">
        <v>255</v>
      </c>
      <c r="Z46" s="24" t="s">
        <v>198</v>
      </c>
      <c r="AA46" s="25">
        <v>43577.90940034722</v>
      </c>
    </row>
    <row r="47" spans="1:27">
      <c r="A47" s="23">
        <v>55</v>
      </c>
      <c r="B47" s="24" t="s">
        <v>236</v>
      </c>
      <c r="C47" s="24" t="s">
        <v>237</v>
      </c>
      <c r="D47" s="24" t="s">
        <v>229</v>
      </c>
      <c r="E47" s="24" t="s">
        <v>230</v>
      </c>
      <c r="F47" s="24" t="s">
        <v>192</v>
      </c>
      <c r="G47" s="24" t="s">
        <v>238</v>
      </c>
      <c r="H47" s="24" t="s">
        <v>193</v>
      </c>
      <c r="I47" s="24" t="s">
        <v>231</v>
      </c>
      <c r="J47" s="24" t="s">
        <v>232</v>
      </c>
      <c r="K47" s="24" t="s">
        <v>195</v>
      </c>
      <c r="L47" s="24" t="s">
        <v>191</v>
      </c>
      <c r="M47" s="24" t="s">
        <v>190</v>
      </c>
      <c r="N47" s="24" t="s">
        <v>190</v>
      </c>
      <c r="O47" s="24" t="s">
        <v>190</v>
      </c>
      <c r="P47" s="24" t="s">
        <v>190</v>
      </c>
      <c r="Q47" s="24" t="s">
        <v>191</v>
      </c>
      <c r="R47" s="24" t="s">
        <v>190</v>
      </c>
      <c r="S47" s="24" t="s">
        <v>190</v>
      </c>
      <c r="T47" s="24" t="s">
        <v>204</v>
      </c>
      <c r="U47" s="24" t="s">
        <v>205</v>
      </c>
      <c r="V47" s="24" t="s">
        <v>257</v>
      </c>
      <c r="W47" s="24" t="s">
        <v>258</v>
      </c>
      <c r="X47" s="24" t="s">
        <v>219</v>
      </c>
      <c r="Y47" s="24" t="s">
        <v>255</v>
      </c>
      <c r="Z47" s="24" t="s">
        <v>198</v>
      </c>
      <c r="AA47" s="25">
        <v>43577.909396296294</v>
      </c>
    </row>
    <row r="48" spans="1:27">
      <c r="A48" s="23">
        <v>54</v>
      </c>
      <c r="B48" s="24" t="s">
        <v>236</v>
      </c>
      <c r="C48" s="24" t="s">
        <v>237</v>
      </c>
      <c r="D48" s="24" t="s">
        <v>229</v>
      </c>
      <c r="E48" s="24" t="s">
        <v>230</v>
      </c>
      <c r="F48" s="24" t="s">
        <v>192</v>
      </c>
      <c r="G48" s="24" t="s">
        <v>235</v>
      </c>
      <c r="H48" s="24" t="s">
        <v>193</v>
      </c>
      <c r="I48" s="24" t="s">
        <v>231</v>
      </c>
      <c r="J48" s="24" t="s">
        <v>232</v>
      </c>
      <c r="K48" s="24" t="s">
        <v>195</v>
      </c>
      <c r="L48" s="24" t="s">
        <v>191</v>
      </c>
      <c r="M48" s="24" t="s">
        <v>190</v>
      </c>
      <c r="N48" s="24" t="s">
        <v>190</v>
      </c>
      <c r="O48" s="24" t="s">
        <v>190</v>
      </c>
      <c r="P48" s="24" t="s">
        <v>190</v>
      </c>
      <c r="Q48" s="24" t="s">
        <v>191</v>
      </c>
      <c r="R48" s="24" t="s">
        <v>190</v>
      </c>
      <c r="S48" s="24" t="s">
        <v>190</v>
      </c>
      <c r="T48" s="24" t="s">
        <v>204</v>
      </c>
      <c r="U48" s="24" t="s">
        <v>205</v>
      </c>
      <c r="V48" s="24" t="s">
        <v>257</v>
      </c>
      <c r="W48" s="24" t="s">
        <v>258</v>
      </c>
      <c r="X48" s="24" t="s">
        <v>219</v>
      </c>
      <c r="Y48" s="24" t="s">
        <v>255</v>
      </c>
      <c r="Z48" s="24" t="s">
        <v>198</v>
      </c>
      <c r="AA48" s="25">
        <v>43577.90939270833</v>
      </c>
    </row>
    <row r="49" spans="1:27">
      <c r="A49" s="23">
        <v>53</v>
      </c>
      <c r="B49" s="24" t="s">
        <v>236</v>
      </c>
      <c r="C49" s="24" t="s">
        <v>237</v>
      </c>
      <c r="D49" s="24" t="s">
        <v>229</v>
      </c>
      <c r="E49" s="24" t="s">
        <v>230</v>
      </c>
      <c r="F49" s="24" t="s">
        <v>192</v>
      </c>
      <c r="G49" s="24" t="s">
        <v>239</v>
      </c>
      <c r="H49" s="24" t="s">
        <v>193</v>
      </c>
      <c r="I49" s="24" t="s">
        <v>231</v>
      </c>
      <c r="J49" s="24" t="s">
        <v>232</v>
      </c>
      <c r="K49" s="24" t="s">
        <v>195</v>
      </c>
      <c r="L49" s="24" t="s">
        <v>191</v>
      </c>
      <c r="M49" s="24" t="s">
        <v>190</v>
      </c>
      <c r="N49" s="24" t="s">
        <v>190</v>
      </c>
      <c r="O49" s="24" t="s">
        <v>190</v>
      </c>
      <c r="P49" s="24" t="s">
        <v>190</v>
      </c>
      <c r="Q49" s="24" t="s">
        <v>191</v>
      </c>
      <c r="R49" s="24" t="s">
        <v>190</v>
      </c>
      <c r="S49" s="24" t="s">
        <v>190</v>
      </c>
      <c r="T49" s="24" t="s">
        <v>204</v>
      </c>
      <c r="U49" s="24" t="s">
        <v>205</v>
      </c>
      <c r="V49" s="24" t="s">
        <v>244</v>
      </c>
      <c r="W49" s="24" t="s">
        <v>254</v>
      </c>
      <c r="X49" s="24" t="s">
        <v>219</v>
      </c>
      <c r="Y49" s="24" t="s">
        <v>255</v>
      </c>
      <c r="Z49" s="24" t="s">
        <v>198</v>
      </c>
      <c r="AA49" s="25">
        <v>43577.909389236112</v>
      </c>
    </row>
    <row r="50" spans="1:27">
      <c r="A50" s="23">
        <v>52</v>
      </c>
      <c r="B50" s="24" t="s">
        <v>236</v>
      </c>
      <c r="C50" s="24" t="s">
        <v>237</v>
      </c>
      <c r="D50" s="24" t="s">
        <v>229</v>
      </c>
      <c r="E50" s="24" t="s">
        <v>230</v>
      </c>
      <c r="F50" s="24" t="s">
        <v>192</v>
      </c>
      <c r="G50" s="24" t="s">
        <v>238</v>
      </c>
      <c r="H50" s="24" t="s">
        <v>193</v>
      </c>
      <c r="I50" s="24" t="s">
        <v>231</v>
      </c>
      <c r="J50" s="24" t="s">
        <v>232</v>
      </c>
      <c r="K50" s="24" t="s">
        <v>195</v>
      </c>
      <c r="L50" s="24" t="s">
        <v>191</v>
      </c>
      <c r="M50" s="24" t="s">
        <v>190</v>
      </c>
      <c r="N50" s="24" t="s">
        <v>190</v>
      </c>
      <c r="O50" s="24" t="s">
        <v>190</v>
      </c>
      <c r="P50" s="24" t="s">
        <v>190</v>
      </c>
      <c r="Q50" s="24" t="s">
        <v>191</v>
      </c>
      <c r="R50" s="24" t="s">
        <v>190</v>
      </c>
      <c r="S50" s="24" t="s">
        <v>190</v>
      </c>
      <c r="T50" s="24" t="s">
        <v>204</v>
      </c>
      <c r="U50" s="24" t="s">
        <v>205</v>
      </c>
      <c r="V50" s="24" t="s">
        <v>244</v>
      </c>
      <c r="W50" s="24" t="s">
        <v>254</v>
      </c>
      <c r="X50" s="24" t="s">
        <v>219</v>
      </c>
      <c r="Y50" s="24" t="s">
        <v>255</v>
      </c>
      <c r="Z50" s="24" t="s">
        <v>198</v>
      </c>
      <c r="AA50" s="25">
        <v>43577.90938553241</v>
      </c>
    </row>
    <row r="51" spans="1:27">
      <c r="A51" s="23">
        <v>51</v>
      </c>
      <c r="B51" s="24" t="s">
        <v>236</v>
      </c>
      <c r="C51" s="24" t="s">
        <v>237</v>
      </c>
      <c r="D51" s="24" t="s">
        <v>229</v>
      </c>
      <c r="E51" s="24" t="s">
        <v>230</v>
      </c>
      <c r="F51" s="24" t="s">
        <v>192</v>
      </c>
      <c r="G51" s="24" t="s">
        <v>235</v>
      </c>
      <c r="H51" s="24" t="s">
        <v>193</v>
      </c>
      <c r="I51" s="24" t="s">
        <v>231</v>
      </c>
      <c r="J51" s="24" t="s">
        <v>232</v>
      </c>
      <c r="K51" s="24" t="s">
        <v>195</v>
      </c>
      <c r="L51" s="24" t="s">
        <v>191</v>
      </c>
      <c r="M51" s="24" t="s">
        <v>190</v>
      </c>
      <c r="N51" s="24" t="s">
        <v>190</v>
      </c>
      <c r="O51" s="24" t="s">
        <v>190</v>
      </c>
      <c r="P51" s="24" t="s">
        <v>190</v>
      </c>
      <c r="Q51" s="24" t="s">
        <v>191</v>
      </c>
      <c r="R51" s="24" t="s">
        <v>190</v>
      </c>
      <c r="S51" s="24" t="s">
        <v>190</v>
      </c>
      <c r="T51" s="24" t="s">
        <v>204</v>
      </c>
      <c r="U51" s="24" t="s">
        <v>205</v>
      </c>
      <c r="V51" s="24" t="s">
        <v>244</v>
      </c>
      <c r="W51" s="24" t="s">
        <v>254</v>
      </c>
      <c r="X51" s="24" t="s">
        <v>219</v>
      </c>
      <c r="Y51" s="24" t="s">
        <v>255</v>
      </c>
      <c r="Z51" s="24" t="s">
        <v>198</v>
      </c>
      <c r="AA51" s="25">
        <v>43577.9093818287</v>
      </c>
    </row>
    <row r="52" spans="1:27">
      <c r="A52" s="23">
        <v>50</v>
      </c>
      <c r="B52" s="24" t="s">
        <v>236</v>
      </c>
      <c r="C52" s="24" t="s">
        <v>237</v>
      </c>
      <c r="D52" s="24" t="s">
        <v>229</v>
      </c>
      <c r="E52" s="24" t="s">
        <v>230</v>
      </c>
      <c r="F52" s="24" t="s">
        <v>192</v>
      </c>
      <c r="G52" s="24" t="s">
        <v>235</v>
      </c>
      <c r="H52" s="24" t="s">
        <v>193</v>
      </c>
      <c r="I52" s="24" t="s">
        <v>231</v>
      </c>
      <c r="J52" s="24" t="s">
        <v>232</v>
      </c>
      <c r="K52" s="24" t="s">
        <v>195</v>
      </c>
      <c r="L52" s="24" t="s">
        <v>191</v>
      </c>
      <c r="M52" s="24" t="s">
        <v>190</v>
      </c>
      <c r="N52" s="24" t="s">
        <v>190</v>
      </c>
      <c r="O52" s="24" t="s">
        <v>190</v>
      </c>
      <c r="P52" s="24" t="s">
        <v>190</v>
      </c>
      <c r="Q52" s="24" t="s">
        <v>191</v>
      </c>
      <c r="R52" s="24" t="s">
        <v>190</v>
      </c>
      <c r="S52" s="24" t="s">
        <v>190</v>
      </c>
      <c r="T52" s="24" t="s">
        <v>204</v>
      </c>
      <c r="U52" s="24" t="s">
        <v>205</v>
      </c>
      <c r="V52" s="24" t="s">
        <v>251</v>
      </c>
      <c r="W52" s="24" t="s">
        <v>252</v>
      </c>
      <c r="X52" s="24" t="s">
        <v>219</v>
      </c>
      <c r="Y52" s="24" t="s">
        <v>255</v>
      </c>
      <c r="Z52" s="24" t="s">
        <v>198</v>
      </c>
      <c r="AA52" s="25">
        <v>43577.909378124998</v>
      </c>
    </row>
    <row r="53" spans="1:27">
      <c r="A53" s="23">
        <v>49</v>
      </c>
      <c r="B53" s="24" t="s">
        <v>236</v>
      </c>
      <c r="C53" s="24" t="s">
        <v>237</v>
      </c>
      <c r="D53" s="24" t="s">
        <v>229</v>
      </c>
      <c r="E53" s="24" t="s">
        <v>230</v>
      </c>
      <c r="F53" s="24" t="s">
        <v>192</v>
      </c>
      <c r="G53" s="24" t="s">
        <v>253</v>
      </c>
      <c r="H53" s="24" t="s">
        <v>193</v>
      </c>
      <c r="I53" s="24" t="s">
        <v>231</v>
      </c>
      <c r="J53" s="24" t="s">
        <v>232</v>
      </c>
      <c r="K53" s="24" t="s">
        <v>195</v>
      </c>
      <c r="L53" s="24" t="s">
        <v>191</v>
      </c>
      <c r="M53" s="24" t="s">
        <v>190</v>
      </c>
      <c r="N53" s="24" t="s">
        <v>190</v>
      </c>
      <c r="O53" s="24" t="s">
        <v>190</v>
      </c>
      <c r="P53" s="24" t="s">
        <v>190</v>
      </c>
      <c r="Q53" s="24" t="s">
        <v>191</v>
      </c>
      <c r="R53" s="24" t="s">
        <v>190</v>
      </c>
      <c r="S53" s="24" t="s">
        <v>190</v>
      </c>
      <c r="T53" s="24" t="s">
        <v>204</v>
      </c>
      <c r="U53" s="24" t="s">
        <v>205</v>
      </c>
      <c r="V53" s="24" t="s">
        <v>251</v>
      </c>
      <c r="W53" s="24" t="s">
        <v>252</v>
      </c>
      <c r="X53" s="24" t="s">
        <v>219</v>
      </c>
      <c r="Y53" s="24" t="s">
        <v>255</v>
      </c>
      <c r="Z53" s="24" t="s">
        <v>198</v>
      </c>
      <c r="AA53" s="25">
        <v>43577.909374305556</v>
      </c>
    </row>
    <row r="54" spans="1:27">
      <c r="A54" s="23">
        <v>48</v>
      </c>
      <c r="B54" s="24" t="s">
        <v>236</v>
      </c>
      <c r="C54" s="24" t="s">
        <v>237</v>
      </c>
      <c r="D54" s="24" t="s">
        <v>229</v>
      </c>
      <c r="E54" s="24" t="s">
        <v>230</v>
      </c>
      <c r="F54" s="24" t="s">
        <v>192</v>
      </c>
      <c r="G54" s="24" t="s">
        <v>239</v>
      </c>
      <c r="H54" s="24" t="s">
        <v>193</v>
      </c>
      <c r="I54" s="24" t="s">
        <v>231</v>
      </c>
      <c r="J54" s="24" t="s">
        <v>232</v>
      </c>
      <c r="K54" s="24" t="s">
        <v>195</v>
      </c>
      <c r="L54" s="24" t="s">
        <v>191</v>
      </c>
      <c r="M54" s="24" t="s">
        <v>190</v>
      </c>
      <c r="N54" s="24" t="s">
        <v>190</v>
      </c>
      <c r="O54" s="24" t="s">
        <v>190</v>
      </c>
      <c r="P54" s="24" t="s">
        <v>190</v>
      </c>
      <c r="Q54" s="24" t="s">
        <v>191</v>
      </c>
      <c r="R54" s="24" t="s">
        <v>190</v>
      </c>
      <c r="S54" s="24" t="s">
        <v>190</v>
      </c>
      <c r="T54" s="24" t="s">
        <v>204</v>
      </c>
      <c r="U54" s="24" t="s">
        <v>205</v>
      </c>
      <c r="V54" s="24" t="s">
        <v>251</v>
      </c>
      <c r="W54" s="24" t="s">
        <v>252</v>
      </c>
      <c r="X54" s="24" t="s">
        <v>219</v>
      </c>
      <c r="Y54" s="24" t="s">
        <v>255</v>
      </c>
      <c r="Z54" s="24" t="s">
        <v>198</v>
      </c>
      <c r="AA54" s="25">
        <v>43577.909186689816</v>
      </c>
    </row>
    <row r="55" spans="1:27">
      <c r="A55" s="23">
        <v>47</v>
      </c>
      <c r="B55" s="24" t="s">
        <v>236</v>
      </c>
      <c r="C55" s="24" t="s">
        <v>237</v>
      </c>
      <c r="D55" s="24" t="s">
        <v>229</v>
      </c>
      <c r="E55" s="24" t="s">
        <v>230</v>
      </c>
      <c r="F55" s="24" t="s">
        <v>192</v>
      </c>
      <c r="G55" s="24" t="s">
        <v>239</v>
      </c>
      <c r="H55" s="24" t="s">
        <v>193</v>
      </c>
      <c r="I55" s="24" t="s">
        <v>231</v>
      </c>
      <c r="J55" s="24" t="s">
        <v>232</v>
      </c>
      <c r="K55" s="24" t="s">
        <v>195</v>
      </c>
      <c r="L55" s="24" t="s">
        <v>191</v>
      </c>
      <c r="M55" s="24" t="s">
        <v>190</v>
      </c>
      <c r="N55" s="24" t="s">
        <v>190</v>
      </c>
      <c r="O55" s="24" t="s">
        <v>190</v>
      </c>
      <c r="P55" s="24" t="s">
        <v>190</v>
      </c>
      <c r="Q55" s="24" t="s">
        <v>191</v>
      </c>
      <c r="R55" s="24" t="s">
        <v>190</v>
      </c>
      <c r="S55" s="24" t="s">
        <v>190</v>
      </c>
      <c r="T55" s="24" t="s">
        <v>204</v>
      </c>
      <c r="U55" s="24" t="s">
        <v>210</v>
      </c>
      <c r="V55" s="24" t="s">
        <v>249</v>
      </c>
      <c r="W55" s="24" t="s">
        <v>190</v>
      </c>
      <c r="X55" s="24" t="s">
        <v>206</v>
      </c>
      <c r="Y55" s="24" t="s">
        <v>240</v>
      </c>
      <c r="Z55" s="24" t="s">
        <v>198</v>
      </c>
      <c r="AA55" s="25">
        <v>43577.900911111108</v>
      </c>
    </row>
    <row r="56" spans="1:27">
      <c r="A56" s="23">
        <v>46</v>
      </c>
      <c r="B56" s="24" t="s">
        <v>236</v>
      </c>
      <c r="C56" s="24" t="s">
        <v>237</v>
      </c>
      <c r="D56" s="24" t="s">
        <v>229</v>
      </c>
      <c r="E56" s="24" t="s">
        <v>230</v>
      </c>
      <c r="F56" s="24" t="s">
        <v>192</v>
      </c>
      <c r="G56" s="24" t="s">
        <v>238</v>
      </c>
      <c r="H56" s="24" t="s">
        <v>193</v>
      </c>
      <c r="I56" s="24" t="s">
        <v>231</v>
      </c>
      <c r="J56" s="24" t="s">
        <v>232</v>
      </c>
      <c r="K56" s="24" t="s">
        <v>195</v>
      </c>
      <c r="L56" s="24" t="s">
        <v>191</v>
      </c>
      <c r="M56" s="24" t="s">
        <v>190</v>
      </c>
      <c r="N56" s="24" t="s">
        <v>190</v>
      </c>
      <c r="O56" s="24" t="s">
        <v>190</v>
      </c>
      <c r="P56" s="24" t="s">
        <v>190</v>
      </c>
      <c r="Q56" s="24" t="s">
        <v>191</v>
      </c>
      <c r="R56" s="24" t="s">
        <v>190</v>
      </c>
      <c r="S56" s="24" t="s">
        <v>190</v>
      </c>
      <c r="T56" s="24" t="s">
        <v>204</v>
      </c>
      <c r="U56" s="24" t="s">
        <v>210</v>
      </c>
      <c r="V56" s="24" t="s">
        <v>249</v>
      </c>
      <c r="W56" s="24" t="s">
        <v>190</v>
      </c>
      <c r="X56" s="24" t="s">
        <v>206</v>
      </c>
      <c r="Y56" s="24" t="s">
        <v>240</v>
      </c>
      <c r="Z56" s="24" t="s">
        <v>198</v>
      </c>
      <c r="AA56" s="25">
        <v>43577.900907175928</v>
      </c>
    </row>
    <row r="57" spans="1:27">
      <c r="A57" s="23">
        <v>45</v>
      </c>
      <c r="B57" s="24" t="s">
        <v>236</v>
      </c>
      <c r="C57" s="24" t="s">
        <v>237</v>
      </c>
      <c r="D57" s="24" t="s">
        <v>229</v>
      </c>
      <c r="E57" s="24" t="s">
        <v>230</v>
      </c>
      <c r="F57" s="24" t="s">
        <v>192</v>
      </c>
      <c r="G57" s="24" t="s">
        <v>235</v>
      </c>
      <c r="H57" s="24" t="s">
        <v>193</v>
      </c>
      <c r="I57" s="24" t="s">
        <v>231</v>
      </c>
      <c r="J57" s="24" t="s">
        <v>245</v>
      </c>
      <c r="K57" s="24" t="s">
        <v>195</v>
      </c>
      <c r="L57" s="24" t="s">
        <v>191</v>
      </c>
      <c r="M57" s="24" t="s">
        <v>190</v>
      </c>
      <c r="N57" s="24" t="s">
        <v>190</v>
      </c>
      <c r="O57" s="24" t="s">
        <v>190</v>
      </c>
      <c r="P57" s="24" t="s">
        <v>190</v>
      </c>
      <c r="Q57" s="24" t="s">
        <v>191</v>
      </c>
      <c r="R57" s="24" t="s">
        <v>190</v>
      </c>
      <c r="S57" s="24" t="s">
        <v>190</v>
      </c>
      <c r="T57" s="24" t="s">
        <v>204</v>
      </c>
      <c r="U57" s="24" t="s">
        <v>210</v>
      </c>
      <c r="V57" s="24" t="s">
        <v>249</v>
      </c>
      <c r="W57" s="24" t="s">
        <v>190</v>
      </c>
      <c r="X57" s="24" t="s">
        <v>206</v>
      </c>
      <c r="Y57" s="24" t="s">
        <v>240</v>
      </c>
      <c r="Z57" s="24" t="s">
        <v>198</v>
      </c>
      <c r="AA57" s="25">
        <v>43577.900757291667</v>
      </c>
    </row>
    <row r="58" spans="1:27">
      <c r="A58" s="23">
        <v>44</v>
      </c>
      <c r="B58" s="24" t="s">
        <v>236</v>
      </c>
      <c r="C58" s="24" t="s">
        <v>237</v>
      </c>
      <c r="D58" s="24" t="s">
        <v>229</v>
      </c>
      <c r="E58" s="24" t="s">
        <v>230</v>
      </c>
      <c r="F58" s="24" t="s">
        <v>192</v>
      </c>
      <c r="G58" s="24" t="s">
        <v>235</v>
      </c>
      <c r="H58" s="24" t="s">
        <v>193</v>
      </c>
      <c r="I58" s="24" t="s">
        <v>231</v>
      </c>
      <c r="J58" s="24" t="s">
        <v>245</v>
      </c>
      <c r="K58" s="24" t="s">
        <v>195</v>
      </c>
      <c r="L58" s="24" t="s">
        <v>191</v>
      </c>
      <c r="M58" s="24" t="s">
        <v>190</v>
      </c>
      <c r="N58" s="24" t="s">
        <v>190</v>
      </c>
      <c r="O58" s="24" t="s">
        <v>190</v>
      </c>
      <c r="P58" s="24" t="s">
        <v>190</v>
      </c>
      <c r="Q58" s="24" t="s">
        <v>191</v>
      </c>
      <c r="R58" s="24" t="s">
        <v>190</v>
      </c>
      <c r="S58" s="24" t="s">
        <v>190</v>
      </c>
      <c r="T58" s="24" t="s">
        <v>204</v>
      </c>
      <c r="U58" s="24" t="s">
        <v>205</v>
      </c>
      <c r="V58" s="24" t="s">
        <v>249</v>
      </c>
      <c r="W58" s="24" t="s">
        <v>250</v>
      </c>
      <c r="X58" s="24" t="s">
        <v>206</v>
      </c>
      <c r="Y58" s="24" t="s">
        <v>240</v>
      </c>
      <c r="Z58" s="24" t="s">
        <v>198</v>
      </c>
      <c r="AA58" s="25">
        <v>43577.900059837964</v>
      </c>
    </row>
    <row r="59" spans="1:27">
      <c r="A59" s="23">
        <v>43</v>
      </c>
      <c r="B59" s="24" t="s">
        <v>236</v>
      </c>
      <c r="C59" s="24" t="s">
        <v>237</v>
      </c>
      <c r="D59" s="24" t="s">
        <v>229</v>
      </c>
      <c r="E59" s="24" t="s">
        <v>230</v>
      </c>
      <c r="F59" s="24" t="s">
        <v>192</v>
      </c>
      <c r="G59" s="24" t="s">
        <v>238</v>
      </c>
      <c r="H59" s="24" t="s">
        <v>193</v>
      </c>
      <c r="I59" s="24" t="s">
        <v>231</v>
      </c>
      <c r="J59" s="24" t="s">
        <v>232</v>
      </c>
      <c r="K59" s="24" t="s">
        <v>195</v>
      </c>
      <c r="L59" s="24" t="s">
        <v>191</v>
      </c>
      <c r="M59" s="24" t="s">
        <v>190</v>
      </c>
      <c r="N59" s="24" t="s">
        <v>190</v>
      </c>
      <c r="O59" s="24" t="s">
        <v>190</v>
      </c>
      <c r="P59" s="24" t="s">
        <v>190</v>
      </c>
      <c r="Q59" s="24" t="s">
        <v>191</v>
      </c>
      <c r="R59" s="24" t="s">
        <v>190</v>
      </c>
      <c r="S59" s="24" t="s">
        <v>190</v>
      </c>
      <c r="T59" s="24" t="s">
        <v>204</v>
      </c>
      <c r="U59" s="24" t="s">
        <v>205</v>
      </c>
      <c r="V59" s="24" t="s">
        <v>249</v>
      </c>
      <c r="W59" s="24" t="s">
        <v>250</v>
      </c>
      <c r="X59" s="24" t="s">
        <v>206</v>
      </c>
      <c r="Y59" s="24" t="s">
        <v>240</v>
      </c>
      <c r="Z59" s="24" t="s">
        <v>198</v>
      </c>
      <c r="AA59" s="25">
        <v>43577.900056597224</v>
      </c>
    </row>
    <row r="60" spans="1:27">
      <c r="A60" s="23">
        <v>42</v>
      </c>
      <c r="B60" s="24" t="s">
        <v>236</v>
      </c>
      <c r="C60" s="24" t="s">
        <v>237</v>
      </c>
      <c r="D60" s="24" t="s">
        <v>229</v>
      </c>
      <c r="E60" s="24" t="s">
        <v>230</v>
      </c>
      <c r="F60" s="24" t="s">
        <v>192</v>
      </c>
      <c r="G60" s="24" t="s">
        <v>239</v>
      </c>
      <c r="H60" s="24" t="s">
        <v>193</v>
      </c>
      <c r="I60" s="24" t="s">
        <v>231</v>
      </c>
      <c r="J60" s="24" t="s">
        <v>232</v>
      </c>
      <c r="K60" s="24" t="s">
        <v>195</v>
      </c>
      <c r="L60" s="24" t="s">
        <v>191</v>
      </c>
      <c r="M60" s="24" t="s">
        <v>190</v>
      </c>
      <c r="N60" s="24" t="s">
        <v>190</v>
      </c>
      <c r="O60" s="24" t="s">
        <v>190</v>
      </c>
      <c r="P60" s="24" t="s">
        <v>190</v>
      </c>
      <c r="Q60" s="24" t="s">
        <v>191</v>
      </c>
      <c r="R60" s="24" t="s">
        <v>190</v>
      </c>
      <c r="S60" s="24" t="s">
        <v>190</v>
      </c>
      <c r="T60" s="24" t="s">
        <v>204</v>
      </c>
      <c r="U60" s="24" t="s">
        <v>205</v>
      </c>
      <c r="V60" s="24" t="s">
        <v>249</v>
      </c>
      <c r="W60" s="24" t="s">
        <v>250</v>
      </c>
      <c r="X60" s="24" t="s">
        <v>206</v>
      </c>
      <c r="Y60" s="24" t="s">
        <v>240</v>
      </c>
      <c r="Z60" s="24" t="s">
        <v>198</v>
      </c>
      <c r="AA60" s="25">
        <v>43577.900053356483</v>
      </c>
    </row>
    <row r="61" spans="1:27">
      <c r="A61" s="23">
        <v>41</v>
      </c>
      <c r="B61" s="24" t="s">
        <v>236</v>
      </c>
      <c r="C61" s="24" t="s">
        <v>237</v>
      </c>
      <c r="D61" s="24" t="s">
        <v>229</v>
      </c>
      <c r="E61" s="24" t="s">
        <v>230</v>
      </c>
      <c r="F61" s="24" t="s">
        <v>192</v>
      </c>
      <c r="G61" s="24" t="s">
        <v>239</v>
      </c>
      <c r="H61" s="24" t="s">
        <v>193</v>
      </c>
      <c r="I61" s="24" t="s">
        <v>231</v>
      </c>
      <c r="J61" s="24" t="s">
        <v>245</v>
      </c>
      <c r="K61" s="24" t="s">
        <v>195</v>
      </c>
      <c r="L61" s="24" t="s">
        <v>191</v>
      </c>
      <c r="M61" s="24" t="s">
        <v>190</v>
      </c>
      <c r="N61" s="24" t="s">
        <v>190</v>
      </c>
      <c r="O61" s="24" t="s">
        <v>190</v>
      </c>
      <c r="P61" s="24" t="s">
        <v>190</v>
      </c>
      <c r="Q61" s="24" t="s">
        <v>191</v>
      </c>
      <c r="R61" s="24" t="s">
        <v>190</v>
      </c>
      <c r="S61" s="24" t="s">
        <v>190</v>
      </c>
      <c r="T61" s="24" t="s">
        <v>204</v>
      </c>
      <c r="U61" s="24" t="s">
        <v>205</v>
      </c>
      <c r="V61" s="24" t="s">
        <v>247</v>
      </c>
      <c r="W61" s="24" t="s">
        <v>248</v>
      </c>
      <c r="X61" s="24" t="s">
        <v>206</v>
      </c>
      <c r="Y61" s="24" t="s">
        <v>240</v>
      </c>
      <c r="Z61" s="24" t="s">
        <v>198</v>
      </c>
      <c r="AA61" s="25">
        <v>43577.900049999997</v>
      </c>
    </row>
    <row r="62" spans="1:27">
      <c r="A62" s="23">
        <v>40</v>
      </c>
      <c r="B62" s="24" t="s">
        <v>236</v>
      </c>
      <c r="C62" s="24" t="s">
        <v>237</v>
      </c>
      <c r="D62" s="24" t="s">
        <v>229</v>
      </c>
      <c r="E62" s="24" t="s">
        <v>230</v>
      </c>
      <c r="F62" s="24" t="s">
        <v>192</v>
      </c>
      <c r="G62" s="24" t="s">
        <v>238</v>
      </c>
      <c r="H62" s="24" t="s">
        <v>193</v>
      </c>
      <c r="I62" s="24" t="s">
        <v>231</v>
      </c>
      <c r="J62" s="24" t="s">
        <v>245</v>
      </c>
      <c r="K62" s="24" t="s">
        <v>195</v>
      </c>
      <c r="L62" s="24" t="s">
        <v>191</v>
      </c>
      <c r="M62" s="24" t="s">
        <v>190</v>
      </c>
      <c r="N62" s="24" t="s">
        <v>190</v>
      </c>
      <c r="O62" s="24" t="s">
        <v>190</v>
      </c>
      <c r="P62" s="24" t="s">
        <v>190</v>
      </c>
      <c r="Q62" s="24" t="s">
        <v>191</v>
      </c>
      <c r="R62" s="24" t="s">
        <v>190</v>
      </c>
      <c r="S62" s="24" t="s">
        <v>190</v>
      </c>
      <c r="T62" s="24" t="s">
        <v>204</v>
      </c>
      <c r="U62" s="24" t="s">
        <v>205</v>
      </c>
      <c r="V62" s="24" t="s">
        <v>247</v>
      </c>
      <c r="W62" s="24" t="s">
        <v>248</v>
      </c>
      <c r="X62" s="24" t="s">
        <v>206</v>
      </c>
      <c r="Y62" s="24" t="s">
        <v>240</v>
      </c>
      <c r="Z62" s="24" t="s">
        <v>198</v>
      </c>
      <c r="AA62" s="25">
        <v>43577.900046759256</v>
      </c>
    </row>
    <row r="63" spans="1:27">
      <c r="A63" s="23">
        <v>39</v>
      </c>
      <c r="B63" s="24" t="s">
        <v>236</v>
      </c>
      <c r="C63" s="24" t="s">
        <v>237</v>
      </c>
      <c r="D63" s="24" t="s">
        <v>229</v>
      </c>
      <c r="E63" s="24" t="s">
        <v>230</v>
      </c>
      <c r="F63" s="24" t="s">
        <v>192</v>
      </c>
      <c r="G63" s="24" t="s">
        <v>235</v>
      </c>
      <c r="H63" s="24" t="s">
        <v>193</v>
      </c>
      <c r="I63" s="24" t="s">
        <v>231</v>
      </c>
      <c r="J63" s="24" t="s">
        <v>245</v>
      </c>
      <c r="K63" s="24" t="s">
        <v>195</v>
      </c>
      <c r="L63" s="24" t="s">
        <v>191</v>
      </c>
      <c r="M63" s="24" t="s">
        <v>190</v>
      </c>
      <c r="N63" s="24" t="s">
        <v>190</v>
      </c>
      <c r="O63" s="24" t="s">
        <v>190</v>
      </c>
      <c r="P63" s="24" t="s">
        <v>190</v>
      </c>
      <c r="Q63" s="24" t="s">
        <v>191</v>
      </c>
      <c r="R63" s="24" t="s">
        <v>190</v>
      </c>
      <c r="S63" s="24" t="s">
        <v>190</v>
      </c>
      <c r="T63" s="24" t="s">
        <v>204</v>
      </c>
      <c r="U63" s="24" t="s">
        <v>205</v>
      </c>
      <c r="V63" s="24" t="s">
        <v>247</v>
      </c>
      <c r="W63" s="24" t="s">
        <v>248</v>
      </c>
      <c r="X63" s="24" t="s">
        <v>206</v>
      </c>
      <c r="Y63" s="24" t="s">
        <v>240</v>
      </c>
      <c r="Z63" s="24" t="s">
        <v>198</v>
      </c>
      <c r="AA63" s="25">
        <v>43577.900043518515</v>
      </c>
    </row>
    <row r="64" spans="1:27">
      <c r="A64" s="23">
        <v>38</v>
      </c>
      <c r="B64" s="24" t="s">
        <v>236</v>
      </c>
      <c r="C64" s="24" t="s">
        <v>237</v>
      </c>
      <c r="D64" s="24" t="s">
        <v>229</v>
      </c>
      <c r="E64" s="24" t="s">
        <v>230</v>
      </c>
      <c r="F64" s="24" t="s">
        <v>192</v>
      </c>
      <c r="G64" s="24" t="s">
        <v>235</v>
      </c>
      <c r="H64" s="24" t="s">
        <v>193</v>
      </c>
      <c r="I64" s="24" t="s">
        <v>231</v>
      </c>
      <c r="J64" s="24" t="s">
        <v>245</v>
      </c>
      <c r="K64" s="24" t="s">
        <v>195</v>
      </c>
      <c r="L64" s="24" t="s">
        <v>191</v>
      </c>
      <c r="M64" s="24" t="s">
        <v>190</v>
      </c>
      <c r="N64" s="24" t="s">
        <v>190</v>
      </c>
      <c r="O64" s="24" t="s">
        <v>190</v>
      </c>
      <c r="P64" s="24" t="s">
        <v>190</v>
      </c>
      <c r="Q64" s="24" t="s">
        <v>191</v>
      </c>
      <c r="R64" s="24" t="s">
        <v>190</v>
      </c>
      <c r="S64" s="24" t="s">
        <v>190</v>
      </c>
      <c r="T64" s="24" t="s">
        <v>204</v>
      </c>
      <c r="U64" s="24" t="s">
        <v>210</v>
      </c>
      <c r="V64" s="24" t="s">
        <v>247</v>
      </c>
      <c r="W64" s="24" t="s">
        <v>190</v>
      </c>
      <c r="X64" s="24" t="s">
        <v>206</v>
      </c>
      <c r="Y64" s="24" t="s">
        <v>240</v>
      </c>
      <c r="Z64" s="24" t="s">
        <v>198</v>
      </c>
      <c r="AA64" s="25">
        <v>43577.900040277775</v>
      </c>
    </row>
    <row r="65" spans="1:27">
      <c r="A65" s="23">
        <v>37</v>
      </c>
      <c r="B65" s="24" t="s">
        <v>236</v>
      </c>
      <c r="C65" s="24" t="s">
        <v>237</v>
      </c>
      <c r="D65" s="24" t="s">
        <v>229</v>
      </c>
      <c r="E65" s="24" t="s">
        <v>230</v>
      </c>
      <c r="F65" s="24" t="s">
        <v>192</v>
      </c>
      <c r="G65" s="24" t="s">
        <v>238</v>
      </c>
      <c r="H65" s="24" t="s">
        <v>193</v>
      </c>
      <c r="I65" s="24" t="s">
        <v>231</v>
      </c>
      <c r="J65" s="24" t="s">
        <v>245</v>
      </c>
      <c r="K65" s="24" t="s">
        <v>195</v>
      </c>
      <c r="L65" s="24" t="s">
        <v>191</v>
      </c>
      <c r="M65" s="24" t="s">
        <v>190</v>
      </c>
      <c r="N65" s="24" t="s">
        <v>190</v>
      </c>
      <c r="O65" s="24" t="s">
        <v>190</v>
      </c>
      <c r="P65" s="24" t="s">
        <v>190</v>
      </c>
      <c r="Q65" s="24" t="s">
        <v>191</v>
      </c>
      <c r="R65" s="24" t="s">
        <v>190</v>
      </c>
      <c r="S65" s="24" t="s">
        <v>190</v>
      </c>
      <c r="T65" s="24" t="s">
        <v>204</v>
      </c>
      <c r="U65" s="24" t="s">
        <v>210</v>
      </c>
      <c r="V65" s="24" t="s">
        <v>247</v>
      </c>
      <c r="W65" s="24" t="s">
        <v>190</v>
      </c>
      <c r="X65" s="24" t="s">
        <v>206</v>
      </c>
      <c r="Y65" s="24" t="s">
        <v>240</v>
      </c>
      <c r="Z65" s="24" t="s">
        <v>198</v>
      </c>
      <c r="AA65" s="25">
        <v>43577.900036805557</v>
      </c>
    </row>
    <row r="66" spans="1:27">
      <c r="A66" s="23">
        <v>36</v>
      </c>
      <c r="B66" s="24" t="s">
        <v>236</v>
      </c>
      <c r="C66" s="24" t="s">
        <v>237</v>
      </c>
      <c r="D66" s="24" t="s">
        <v>229</v>
      </c>
      <c r="E66" s="24" t="s">
        <v>230</v>
      </c>
      <c r="F66" s="24" t="s">
        <v>192</v>
      </c>
      <c r="G66" s="24" t="s">
        <v>239</v>
      </c>
      <c r="H66" s="24" t="s">
        <v>193</v>
      </c>
      <c r="I66" s="24" t="s">
        <v>231</v>
      </c>
      <c r="J66" s="24" t="s">
        <v>245</v>
      </c>
      <c r="K66" s="24" t="s">
        <v>195</v>
      </c>
      <c r="L66" s="24" t="s">
        <v>191</v>
      </c>
      <c r="M66" s="24" t="s">
        <v>190</v>
      </c>
      <c r="N66" s="24" t="s">
        <v>190</v>
      </c>
      <c r="O66" s="24" t="s">
        <v>190</v>
      </c>
      <c r="P66" s="24" t="s">
        <v>190</v>
      </c>
      <c r="Q66" s="24" t="s">
        <v>191</v>
      </c>
      <c r="R66" s="24" t="s">
        <v>190</v>
      </c>
      <c r="S66" s="24" t="s">
        <v>190</v>
      </c>
      <c r="T66" s="24" t="s">
        <v>204</v>
      </c>
      <c r="U66" s="24" t="s">
        <v>210</v>
      </c>
      <c r="V66" s="24" t="s">
        <v>247</v>
      </c>
      <c r="W66" s="24" t="s">
        <v>190</v>
      </c>
      <c r="X66" s="24" t="s">
        <v>206</v>
      </c>
      <c r="Y66" s="24" t="s">
        <v>240</v>
      </c>
      <c r="Z66" s="24" t="s">
        <v>198</v>
      </c>
      <c r="AA66" s="25">
        <v>43577.899950462961</v>
      </c>
    </row>
    <row r="67" spans="1:27">
      <c r="A67" s="23">
        <v>35</v>
      </c>
      <c r="B67" s="24" t="s">
        <v>236</v>
      </c>
      <c r="C67" s="24" t="s">
        <v>237</v>
      </c>
      <c r="D67" s="24" t="s">
        <v>229</v>
      </c>
      <c r="E67" s="24" t="s">
        <v>230</v>
      </c>
      <c r="F67" s="24" t="s">
        <v>192</v>
      </c>
      <c r="G67" s="24" t="s">
        <v>239</v>
      </c>
      <c r="H67" s="24" t="s">
        <v>193</v>
      </c>
      <c r="I67" s="24" t="s">
        <v>231</v>
      </c>
      <c r="J67" s="24" t="s">
        <v>232</v>
      </c>
      <c r="K67" s="24" t="s">
        <v>195</v>
      </c>
      <c r="L67" s="24" t="s">
        <v>191</v>
      </c>
      <c r="M67" s="24" t="s">
        <v>190</v>
      </c>
      <c r="N67" s="24" t="s">
        <v>190</v>
      </c>
      <c r="O67" s="24" t="s">
        <v>190</v>
      </c>
      <c r="P67" s="24" t="s">
        <v>190</v>
      </c>
      <c r="Q67" s="24" t="s">
        <v>191</v>
      </c>
      <c r="R67" s="24" t="s">
        <v>190</v>
      </c>
      <c r="S67" s="24" t="s">
        <v>190</v>
      </c>
      <c r="T67" s="24" t="s">
        <v>204</v>
      </c>
      <c r="U67" s="24" t="s">
        <v>210</v>
      </c>
      <c r="V67" s="24" t="s">
        <v>246</v>
      </c>
      <c r="W67" s="24" t="s">
        <v>190</v>
      </c>
      <c r="X67" s="24" t="s">
        <v>206</v>
      </c>
      <c r="Y67" s="24" t="s">
        <v>241</v>
      </c>
      <c r="Z67" s="24" t="s">
        <v>198</v>
      </c>
      <c r="AA67" s="25">
        <v>43577.891111458332</v>
      </c>
    </row>
    <row r="68" spans="1:27">
      <c r="A68" s="23">
        <v>34</v>
      </c>
      <c r="B68" s="24" t="s">
        <v>236</v>
      </c>
      <c r="C68" s="24" t="s">
        <v>237</v>
      </c>
      <c r="D68" s="24" t="s">
        <v>229</v>
      </c>
      <c r="E68" s="24" t="s">
        <v>230</v>
      </c>
      <c r="F68" s="24" t="s">
        <v>192</v>
      </c>
      <c r="G68" s="24" t="s">
        <v>238</v>
      </c>
      <c r="H68" s="24" t="s">
        <v>193</v>
      </c>
      <c r="I68" s="24" t="s">
        <v>231</v>
      </c>
      <c r="J68" s="24" t="s">
        <v>232</v>
      </c>
      <c r="K68" s="24" t="s">
        <v>195</v>
      </c>
      <c r="L68" s="24" t="s">
        <v>191</v>
      </c>
      <c r="M68" s="24" t="s">
        <v>190</v>
      </c>
      <c r="N68" s="24" t="s">
        <v>190</v>
      </c>
      <c r="O68" s="24" t="s">
        <v>190</v>
      </c>
      <c r="P68" s="24" t="s">
        <v>190</v>
      </c>
      <c r="Q68" s="24" t="s">
        <v>191</v>
      </c>
      <c r="R68" s="24" t="s">
        <v>190</v>
      </c>
      <c r="S68" s="24" t="s">
        <v>190</v>
      </c>
      <c r="T68" s="24" t="s">
        <v>204</v>
      </c>
      <c r="U68" s="24" t="s">
        <v>210</v>
      </c>
      <c r="V68" s="24" t="s">
        <v>246</v>
      </c>
      <c r="W68" s="24" t="s">
        <v>190</v>
      </c>
      <c r="X68" s="24" t="s">
        <v>206</v>
      </c>
      <c r="Y68" s="24" t="s">
        <v>241</v>
      </c>
      <c r="Z68" s="24" t="s">
        <v>198</v>
      </c>
      <c r="AA68" s="25">
        <v>43577.891107986114</v>
      </c>
    </row>
    <row r="69" spans="1:27">
      <c r="A69" s="23">
        <v>33</v>
      </c>
      <c r="B69" s="24" t="s">
        <v>236</v>
      </c>
      <c r="C69" s="24" t="s">
        <v>237</v>
      </c>
      <c r="D69" s="24" t="s">
        <v>229</v>
      </c>
      <c r="E69" s="24" t="s">
        <v>230</v>
      </c>
      <c r="F69" s="24" t="s">
        <v>192</v>
      </c>
      <c r="G69" s="24" t="s">
        <v>235</v>
      </c>
      <c r="H69" s="24" t="s">
        <v>193</v>
      </c>
      <c r="I69" s="24" t="s">
        <v>231</v>
      </c>
      <c r="J69" s="24" t="s">
        <v>245</v>
      </c>
      <c r="K69" s="24" t="s">
        <v>195</v>
      </c>
      <c r="L69" s="24" t="s">
        <v>191</v>
      </c>
      <c r="M69" s="24" t="s">
        <v>190</v>
      </c>
      <c r="N69" s="24" t="s">
        <v>190</v>
      </c>
      <c r="O69" s="24" t="s">
        <v>190</v>
      </c>
      <c r="P69" s="24" t="s">
        <v>190</v>
      </c>
      <c r="Q69" s="24" t="s">
        <v>191</v>
      </c>
      <c r="R69" s="24" t="s">
        <v>190</v>
      </c>
      <c r="S69" s="24" t="s">
        <v>190</v>
      </c>
      <c r="T69" s="24" t="s">
        <v>204</v>
      </c>
      <c r="U69" s="24" t="s">
        <v>210</v>
      </c>
      <c r="V69" s="24" t="s">
        <v>246</v>
      </c>
      <c r="W69" s="24" t="s">
        <v>190</v>
      </c>
      <c r="X69" s="24" t="s">
        <v>206</v>
      </c>
      <c r="Y69" s="24" t="s">
        <v>241</v>
      </c>
      <c r="Z69" s="24" t="s">
        <v>198</v>
      </c>
      <c r="AA69" s="25">
        <v>43577.89110439815</v>
      </c>
    </row>
    <row r="70" spans="1:27">
      <c r="A70" s="23">
        <v>32</v>
      </c>
      <c r="B70" s="24" t="s">
        <v>236</v>
      </c>
      <c r="C70" s="24" t="s">
        <v>237</v>
      </c>
      <c r="D70" s="24" t="s">
        <v>229</v>
      </c>
      <c r="E70" s="24" t="s">
        <v>230</v>
      </c>
      <c r="F70" s="24" t="s">
        <v>192</v>
      </c>
      <c r="G70" s="24" t="s">
        <v>235</v>
      </c>
      <c r="H70" s="24" t="s">
        <v>193</v>
      </c>
      <c r="I70" s="24" t="s">
        <v>231</v>
      </c>
      <c r="J70" s="24" t="s">
        <v>232</v>
      </c>
      <c r="K70" s="24" t="s">
        <v>195</v>
      </c>
      <c r="L70" s="24" t="s">
        <v>191</v>
      </c>
      <c r="M70" s="24" t="s">
        <v>190</v>
      </c>
      <c r="N70" s="24" t="s">
        <v>190</v>
      </c>
      <c r="O70" s="24" t="s">
        <v>190</v>
      </c>
      <c r="P70" s="24" t="s">
        <v>190</v>
      </c>
      <c r="Q70" s="24" t="s">
        <v>191</v>
      </c>
      <c r="R70" s="24" t="s">
        <v>190</v>
      </c>
      <c r="S70" s="24" t="s">
        <v>190</v>
      </c>
      <c r="T70" s="24" t="s">
        <v>204</v>
      </c>
      <c r="U70" s="24" t="s">
        <v>210</v>
      </c>
      <c r="V70" s="24" t="s">
        <v>244</v>
      </c>
      <c r="W70" s="24" t="s">
        <v>190</v>
      </c>
      <c r="X70" s="24" t="s">
        <v>206</v>
      </c>
      <c r="Y70" s="24" t="s">
        <v>241</v>
      </c>
      <c r="Z70" s="24" t="s">
        <v>198</v>
      </c>
      <c r="AA70" s="25">
        <v>43577.891100925925</v>
      </c>
    </row>
    <row r="71" spans="1:27">
      <c r="A71" s="23">
        <v>31</v>
      </c>
      <c r="B71" s="24" t="s">
        <v>236</v>
      </c>
      <c r="C71" s="24" t="s">
        <v>237</v>
      </c>
      <c r="D71" s="24" t="s">
        <v>229</v>
      </c>
      <c r="E71" s="24" t="s">
        <v>230</v>
      </c>
      <c r="F71" s="24" t="s">
        <v>192</v>
      </c>
      <c r="G71" s="24" t="s">
        <v>238</v>
      </c>
      <c r="H71" s="24" t="s">
        <v>193</v>
      </c>
      <c r="I71" s="24" t="s">
        <v>231</v>
      </c>
      <c r="J71" s="24" t="s">
        <v>232</v>
      </c>
      <c r="K71" s="24" t="s">
        <v>195</v>
      </c>
      <c r="L71" s="24" t="s">
        <v>191</v>
      </c>
      <c r="M71" s="24" t="s">
        <v>190</v>
      </c>
      <c r="N71" s="24" t="s">
        <v>190</v>
      </c>
      <c r="O71" s="24" t="s">
        <v>190</v>
      </c>
      <c r="P71" s="24" t="s">
        <v>190</v>
      </c>
      <c r="Q71" s="24" t="s">
        <v>191</v>
      </c>
      <c r="R71" s="24" t="s">
        <v>190</v>
      </c>
      <c r="S71" s="24" t="s">
        <v>190</v>
      </c>
      <c r="T71" s="24" t="s">
        <v>204</v>
      </c>
      <c r="U71" s="24" t="s">
        <v>210</v>
      </c>
      <c r="V71" s="24" t="s">
        <v>244</v>
      </c>
      <c r="W71" s="24" t="s">
        <v>190</v>
      </c>
      <c r="X71" s="24" t="s">
        <v>206</v>
      </c>
      <c r="Y71" s="24" t="s">
        <v>241</v>
      </c>
      <c r="Z71" s="24" t="s">
        <v>198</v>
      </c>
      <c r="AA71" s="25">
        <v>43577.891097222222</v>
      </c>
    </row>
    <row r="72" spans="1:27">
      <c r="A72" s="23">
        <v>30</v>
      </c>
      <c r="B72" s="24" t="s">
        <v>236</v>
      </c>
      <c r="C72" s="24" t="s">
        <v>237</v>
      </c>
      <c r="D72" s="24" t="s">
        <v>229</v>
      </c>
      <c r="E72" s="24" t="s">
        <v>230</v>
      </c>
      <c r="F72" s="24" t="s">
        <v>192</v>
      </c>
      <c r="G72" s="24" t="s">
        <v>239</v>
      </c>
      <c r="H72" s="24" t="s">
        <v>193</v>
      </c>
      <c r="I72" s="24" t="s">
        <v>231</v>
      </c>
      <c r="J72" s="24" t="s">
        <v>245</v>
      </c>
      <c r="K72" s="24" t="s">
        <v>195</v>
      </c>
      <c r="L72" s="24" t="s">
        <v>191</v>
      </c>
      <c r="M72" s="24" t="s">
        <v>190</v>
      </c>
      <c r="N72" s="24" t="s">
        <v>190</v>
      </c>
      <c r="O72" s="24" t="s">
        <v>190</v>
      </c>
      <c r="P72" s="24" t="s">
        <v>190</v>
      </c>
      <c r="Q72" s="24" t="s">
        <v>191</v>
      </c>
      <c r="R72" s="24" t="s">
        <v>190</v>
      </c>
      <c r="S72" s="24" t="s">
        <v>190</v>
      </c>
      <c r="T72" s="24" t="s">
        <v>204</v>
      </c>
      <c r="U72" s="24" t="s">
        <v>210</v>
      </c>
      <c r="V72" s="24" t="s">
        <v>244</v>
      </c>
      <c r="W72" s="24" t="s">
        <v>190</v>
      </c>
      <c r="X72" s="24" t="s">
        <v>206</v>
      </c>
      <c r="Y72" s="24" t="s">
        <v>241</v>
      </c>
      <c r="Z72" s="24" t="s">
        <v>198</v>
      </c>
      <c r="AA72" s="25">
        <v>43577.890637152777</v>
      </c>
    </row>
    <row r="73" spans="1:27">
      <c r="A73" s="23">
        <v>29</v>
      </c>
      <c r="B73" s="24" t="s">
        <v>236</v>
      </c>
      <c r="C73" s="24" t="s">
        <v>237</v>
      </c>
      <c r="D73" s="24" t="s">
        <v>229</v>
      </c>
      <c r="E73" s="24" t="s">
        <v>230</v>
      </c>
      <c r="F73" s="24" t="s">
        <v>192</v>
      </c>
      <c r="G73" s="24" t="s">
        <v>239</v>
      </c>
      <c r="H73" s="24" t="s">
        <v>193</v>
      </c>
      <c r="I73" s="24" t="s">
        <v>231</v>
      </c>
      <c r="J73" s="24" t="s">
        <v>232</v>
      </c>
      <c r="K73" s="24" t="s">
        <v>195</v>
      </c>
      <c r="L73" s="24" t="s">
        <v>191</v>
      </c>
      <c r="M73" s="24" t="s">
        <v>190</v>
      </c>
      <c r="N73" s="24" t="s">
        <v>190</v>
      </c>
      <c r="O73" s="24" t="s">
        <v>190</v>
      </c>
      <c r="P73" s="24" t="s">
        <v>190</v>
      </c>
      <c r="Q73" s="24" t="s">
        <v>191</v>
      </c>
      <c r="R73" s="24" t="s">
        <v>190</v>
      </c>
      <c r="S73" s="24" t="s">
        <v>190</v>
      </c>
      <c r="T73" s="24" t="s">
        <v>204</v>
      </c>
      <c r="U73" s="24" t="s">
        <v>210</v>
      </c>
      <c r="V73" s="24" t="s">
        <v>243</v>
      </c>
      <c r="W73" s="24" t="s">
        <v>190</v>
      </c>
      <c r="X73" s="24" t="s">
        <v>206</v>
      </c>
      <c r="Y73" s="24" t="s">
        <v>241</v>
      </c>
      <c r="Z73" s="24" t="s">
        <v>198</v>
      </c>
      <c r="AA73" s="25">
        <v>43577.886707523146</v>
      </c>
    </row>
    <row r="74" spans="1:27">
      <c r="A74" s="23">
        <v>28</v>
      </c>
      <c r="B74" s="24" t="s">
        <v>236</v>
      </c>
      <c r="C74" s="24" t="s">
        <v>237</v>
      </c>
      <c r="D74" s="24" t="s">
        <v>229</v>
      </c>
      <c r="E74" s="24" t="s">
        <v>230</v>
      </c>
      <c r="F74" s="24" t="s">
        <v>192</v>
      </c>
      <c r="G74" s="24" t="s">
        <v>238</v>
      </c>
      <c r="H74" s="24" t="s">
        <v>193</v>
      </c>
      <c r="I74" s="24" t="s">
        <v>231</v>
      </c>
      <c r="J74" s="24" t="s">
        <v>232</v>
      </c>
      <c r="K74" s="24" t="s">
        <v>195</v>
      </c>
      <c r="L74" s="24" t="s">
        <v>191</v>
      </c>
      <c r="M74" s="24" t="s">
        <v>190</v>
      </c>
      <c r="N74" s="24" t="s">
        <v>190</v>
      </c>
      <c r="O74" s="24" t="s">
        <v>190</v>
      </c>
      <c r="P74" s="24" t="s">
        <v>190</v>
      </c>
      <c r="Q74" s="24" t="s">
        <v>191</v>
      </c>
      <c r="R74" s="24" t="s">
        <v>190</v>
      </c>
      <c r="S74" s="24" t="s">
        <v>190</v>
      </c>
      <c r="T74" s="24" t="s">
        <v>204</v>
      </c>
      <c r="U74" s="24" t="s">
        <v>210</v>
      </c>
      <c r="V74" s="24" t="s">
        <v>243</v>
      </c>
      <c r="W74" s="24" t="s">
        <v>190</v>
      </c>
      <c r="X74" s="24" t="s">
        <v>206</v>
      </c>
      <c r="Y74" s="24" t="s">
        <v>241</v>
      </c>
      <c r="Z74" s="24" t="s">
        <v>198</v>
      </c>
      <c r="AA74" s="25">
        <v>43577.886704282406</v>
      </c>
    </row>
    <row r="75" spans="1:27">
      <c r="A75" s="23">
        <v>27</v>
      </c>
      <c r="B75" s="24" t="s">
        <v>236</v>
      </c>
      <c r="C75" s="24" t="s">
        <v>237</v>
      </c>
      <c r="D75" s="24" t="s">
        <v>229</v>
      </c>
      <c r="E75" s="24" t="s">
        <v>230</v>
      </c>
      <c r="F75" s="24" t="s">
        <v>192</v>
      </c>
      <c r="G75" s="24" t="s">
        <v>235</v>
      </c>
      <c r="H75" s="24" t="s">
        <v>193</v>
      </c>
      <c r="I75" s="24" t="s">
        <v>231</v>
      </c>
      <c r="J75" s="24" t="s">
        <v>232</v>
      </c>
      <c r="K75" s="24" t="s">
        <v>195</v>
      </c>
      <c r="L75" s="24" t="s">
        <v>191</v>
      </c>
      <c r="M75" s="24" t="s">
        <v>190</v>
      </c>
      <c r="N75" s="24" t="s">
        <v>190</v>
      </c>
      <c r="O75" s="24" t="s">
        <v>190</v>
      </c>
      <c r="P75" s="24" t="s">
        <v>190</v>
      </c>
      <c r="Q75" s="24" t="s">
        <v>191</v>
      </c>
      <c r="R75" s="24" t="s">
        <v>190</v>
      </c>
      <c r="S75" s="24" t="s">
        <v>190</v>
      </c>
      <c r="T75" s="24" t="s">
        <v>204</v>
      </c>
      <c r="U75" s="24" t="s">
        <v>210</v>
      </c>
      <c r="V75" s="24" t="s">
        <v>243</v>
      </c>
      <c r="W75" s="24" t="s">
        <v>190</v>
      </c>
      <c r="X75" s="24" t="s">
        <v>206</v>
      </c>
      <c r="Y75" s="24" t="s">
        <v>241</v>
      </c>
      <c r="Z75" s="24" t="s">
        <v>198</v>
      </c>
      <c r="AA75" s="25">
        <v>43577.886701157404</v>
      </c>
    </row>
    <row r="76" spans="1:27">
      <c r="A76" s="23">
        <v>26</v>
      </c>
      <c r="B76" s="24" t="s">
        <v>236</v>
      </c>
      <c r="C76" s="24" t="s">
        <v>237</v>
      </c>
      <c r="D76" s="24" t="s">
        <v>229</v>
      </c>
      <c r="E76" s="24" t="s">
        <v>230</v>
      </c>
      <c r="F76" s="24" t="s">
        <v>192</v>
      </c>
      <c r="G76" s="24" t="s">
        <v>235</v>
      </c>
      <c r="H76" s="24" t="s">
        <v>193</v>
      </c>
      <c r="I76" s="24" t="s">
        <v>231</v>
      </c>
      <c r="J76" s="24" t="s">
        <v>232</v>
      </c>
      <c r="K76" s="24" t="s">
        <v>195</v>
      </c>
      <c r="L76" s="24" t="s">
        <v>191</v>
      </c>
      <c r="M76" s="24" t="s">
        <v>190</v>
      </c>
      <c r="N76" s="24" t="s">
        <v>190</v>
      </c>
      <c r="O76" s="24" t="s">
        <v>190</v>
      </c>
      <c r="P76" s="24" t="s">
        <v>190</v>
      </c>
      <c r="Q76" s="24" t="s">
        <v>191</v>
      </c>
      <c r="R76" s="24" t="s">
        <v>190</v>
      </c>
      <c r="S76" s="24" t="s">
        <v>190</v>
      </c>
      <c r="T76" s="24" t="s">
        <v>204</v>
      </c>
      <c r="U76" s="24" t="s">
        <v>210</v>
      </c>
      <c r="V76" s="24" t="s">
        <v>242</v>
      </c>
      <c r="W76" s="24" t="s">
        <v>190</v>
      </c>
      <c r="X76" s="24" t="s">
        <v>206</v>
      </c>
      <c r="Y76" s="24" t="s">
        <v>241</v>
      </c>
      <c r="Z76" s="24" t="s">
        <v>198</v>
      </c>
      <c r="AA76" s="25">
        <v>43577.886697916663</v>
      </c>
    </row>
    <row r="77" spans="1:27">
      <c r="A77" s="23">
        <v>25</v>
      </c>
      <c r="B77" s="24" t="s">
        <v>236</v>
      </c>
      <c r="C77" s="24" t="s">
        <v>237</v>
      </c>
      <c r="D77" s="24" t="s">
        <v>229</v>
      </c>
      <c r="E77" s="24" t="s">
        <v>230</v>
      </c>
      <c r="F77" s="24" t="s">
        <v>192</v>
      </c>
      <c r="G77" s="24" t="s">
        <v>238</v>
      </c>
      <c r="H77" s="24" t="s">
        <v>193</v>
      </c>
      <c r="I77" s="24" t="s">
        <v>231</v>
      </c>
      <c r="J77" s="24" t="s">
        <v>232</v>
      </c>
      <c r="K77" s="24" t="s">
        <v>195</v>
      </c>
      <c r="L77" s="24" t="s">
        <v>191</v>
      </c>
      <c r="M77" s="24" t="s">
        <v>190</v>
      </c>
      <c r="N77" s="24" t="s">
        <v>190</v>
      </c>
      <c r="O77" s="24" t="s">
        <v>190</v>
      </c>
      <c r="P77" s="24" t="s">
        <v>190</v>
      </c>
      <c r="Q77" s="24" t="s">
        <v>191</v>
      </c>
      <c r="R77" s="24" t="s">
        <v>190</v>
      </c>
      <c r="S77" s="24" t="s">
        <v>190</v>
      </c>
      <c r="T77" s="24" t="s">
        <v>204</v>
      </c>
      <c r="U77" s="24" t="s">
        <v>210</v>
      </c>
      <c r="V77" s="24" t="s">
        <v>242</v>
      </c>
      <c r="W77" s="24" t="s">
        <v>190</v>
      </c>
      <c r="X77" s="24" t="s">
        <v>206</v>
      </c>
      <c r="Y77" s="24" t="s">
        <v>241</v>
      </c>
      <c r="Z77" s="24" t="s">
        <v>198</v>
      </c>
      <c r="AA77" s="25">
        <v>43577.886694560184</v>
      </c>
    </row>
    <row r="78" spans="1:27">
      <c r="A78" s="23">
        <v>24</v>
      </c>
      <c r="B78" s="24" t="s">
        <v>236</v>
      </c>
      <c r="C78" s="24" t="s">
        <v>237</v>
      </c>
      <c r="D78" s="24" t="s">
        <v>229</v>
      </c>
      <c r="E78" s="24" t="s">
        <v>230</v>
      </c>
      <c r="F78" s="24" t="s">
        <v>192</v>
      </c>
      <c r="G78" s="24" t="s">
        <v>239</v>
      </c>
      <c r="H78" s="24" t="s">
        <v>193</v>
      </c>
      <c r="I78" s="24" t="s">
        <v>231</v>
      </c>
      <c r="J78" s="24" t="s">
        <v>232</v>
      </c>
      <c r="K78" s="24" t="s">
        <v>195</v>
      </c>
      <c r="L78" s="24" t="s">
        <v>191</v>
      </c>
      <c r="M78" s="24" t="s">
        <v>190</v>
      </c>
      <c r="N78" s="24" t="s">
        <v>190</v>
      </c>
      <c r="O78" s="24" t="s">
        <v>190</v>
      </c>
      <c r="P78" s="24" t="s">
        <v>190</v>
      </c>
      <c r="Q78" s="24" t="s">
        <v>191</v>
      </c>
      <c r="R78" s="24" t="s">
        <v>190</v>
      </c>
      <c r="S78" s="24" t="s">
        <v>190</v>
      </c>
      <c r="T78" s="24" t="s">
        <v>204</v>
      </c>
      <c r="U78" s="24" t="s">
        <v>210</v>
      </c>
      <c r="V78" s="24" t="s">
        <v>242</v>
      </c>
      <c r="W78" s="24" t="s">
        <v>190</v>
      </c>
      <c r="X78" s="24" t="s">
        <v>206</v>
      </c>
      <c r="Y78" s="24" t="s">
        <v>241</v>
      </c>
      <c r="Z78" s="24" t="s">
        <v>198</v>
      </c>
      <c r="AA78" s="25">
        <v>43577.886691203705</v>
      </c>
    </row>
    <row r="79" spans="1:27">
      <c r="A79" s="23">
        <v>23</v>
      </c>
      <c r="B79" s="24" t="s">
        <v>236</v>
      </c>
      <c r="C79" s="24" t="s">
        <v>237</v>
      </c>
      <c r="D79" s="24" t="s">
        <v>229</v>
      </c>
      <c r="E79" s="24" t="s">
        <v>230</v>
      </c>
      <c r="F79" s="24" t="s">
        <v>192</v>
      </c>
      <c r="G79" s="24" t="s">
        <v>239</v>
      </c>
      <c r="H79" s="24" t="s">
        <v>193</v>
      </c>
      <c r="I79" s="24" t="s">
        <v>231</v>
      </c>
      <c r="J79" s="24" t="s">
        <v>232</v>
      </c>
      <c r="K79" s="24" t="s">
        <v>195</v>
      </c>
      <c r="L79" s="24" t="s">
        <v>191</v>
      </c>
      <c r="M79" s="24" t="s">
        <v>190</v>
      </c>
      <c r="N79" s="24" t="s">
        <v>190</v>
      </c>
      <c r="O79" s="24" t="s">
        <v>190</v>
      </c>
      <c r="P79" s="24" t="s">
        <v>190</v>
      </c>
      <c r="Q79" s="24" t="s">
        <v>191</v>
      </c>
      <c r="R79" s="24" t="s">
        <v>190</v>
      </c>
      <c r="S79" s="24" t="s">
        <v>190</v>
      </c>
      <c r="T79" s="24" t="s">
        <v>204</v>
      </c>
      <c r="U79" s="24" t="s">
        <v>210</v>
      </c>
      <c r="V79" s="24" t="s">
        <v>234</v>
      </c>
      <c r="W79" s="24" t="s">
        <v>190</v>
      </c>
      <c r="X79" s="24" t="s">
        <v>206</v>
      </c>
      <c r="Y79" s="24" t="s">
        <v>228</v>
      </c>
      <c r="Z79" s="24" t="s">
        <v>198</v>
      </c>
      <c r="AA79" s="25">
        <v>43577.886687847225</v>
      </c>
    </row>
    <row r="80" spans="1:27">
      <c r="A80" s="23">
        <v>22</v>
      </c>
      <c r="B80" s="24" t="s">
        <v>236</v>
      </c>
      <c r="C80" s="24" t="s">
        <v>237</v>
      </c>
      <c r="D80" s="24" t="s">
        <v>229</v>
      </c>
      <c r="E80" s="24" t="s">
        <v>230</v>
      </c>
      <c r="F80" s="24" t="s">
        <v>192</v>
      </c>
      <c r="G80" s="24" t="s">
        <v>238</v>
      </c>
      <c r="H80" s="24" t="s">
        <v>193</v>
      </c>
      <c r="I80" s="24" t="s">
        <v>231</v>
      </c>
      <c r="J80" s="24" t="s">
        <v>232</v>
      </c>
      <c r="K80" s="24" t="s">
        <v>195</v>
      </c>
      <c r="L80" s="24" t="s">
        <v>191</v>
      </c>
      <c r="M80" s="24" t="s">
        <v>190</v>
      </c>
      <c r="N80" s="24" t="s">
        <v>190</v>
      </c>
      <c r="O80" s="24" t="s">
        <v>190</v>
      </c>
      <c r="P80" s="24" t="s">
        <v>190</v>
      </c>
      <c r="Q80" s="24" t="s">
        <v>191</v>
      </c>
      <c r="R80" s="24" t="s">
        <v>190</v>
      </c>
      <c r="S80" s="24" t="s">
        <v>190</v>
      </c>
      <c r="T80" s="24" t="s">
        <v>204</v>
      </c>
      <c r="U80" s="24" t="s">
        <v>210</v>
      </c>
      <c r="V80" s="24" t="s">
        <v>234</v>
      </c>
      <c r="W80" s="24" t="s">
        <v>190</v>
      </c>
      <c r="X80" s="24" t="s">
        <v>206</v>
      </c>
      <c r="Y80" s="24" t="s">
        <v>228</v>
      </c>
      <c r="Z80" s="24" t="s">
        <v>198</v>
      </c>
      <c r="AA80" s="25">
        <v>43577.886684606485</v>
      </c>
    </row>
    <row r="81" spans="1:27">
      <c r="A81" s="23">
        <v>21</v>
      </c>
      <c r="B81" s="24" t="s">
        <v>236</v>
      </c>
      <c r="C81" s="24" t="s">
        <v>237</v>
      </c>
      <c r="D81" s="24" t="s">
        <v>229</v>
      </c>
      <c r="E81" s="24" t="s">
        <v>230</v>
      </c>
      <c r="F81" s="24" t="s">
        <v>192</v>
      </c>
      <c r="G81" s="24" t="s">
        <v>235</v>
      </c>
      <c r="H81" s="24" t="s">
        <v>193</v>
      </c>
      <c r="I81" s="24" t="s">
        <v>231</v>
      </c>
      <c r="J81" s="24" t="s">
        <v>232</v>
      </c>
      <c r="K81" s="24" t="s">
        <v>195</v>
      </c>
      <c r="L81" s="24" t="s">
        <v>191</v>
      </c>
      <c r="M81" s="24" t="s">
        <v>190</v>
      </c>
      <c r="N81" s="24" t="s">
        <v>190</v>
      </c>
      <c r="O81" s="24" t="s">
        <v>190</v>
      </c>
      <c r="P81" s="24" t="s">
        <v>190</v>
      </c>
      <c r="Q81" s="24" t="s">
        <v>191</v>
      </c>
      <c r="R81" s="24" t="s">
        <v>190</v>
      </c>
      <c r="S81" s="24" t="s">
        <v>190</v>
      </c>
      <c r="T81" s="24" t="s">
        <v>204</v>
      </c>
      <c r="U81" s="24" t="s">
        <v>210</v>
      </c>
      <c r="V81" s="24" t="s">
        <v>234</v>
      </c>
      <c r="W81" s="24" t="s">
        <v>190</v>
      </c>
      <c r="X81" s="24" t="s">
        <v>206</v>
      </c>
      <c r="Y81" s="24" t="s">
        <v>228</v>
      </c>
      <c r="Z81" s="24" t="s">
        <v>198</v>
      </c>
      <c r="AA81" s="25">
        <v>43577.886128124999</v>
      </c>
    </row>
    <row r="82" spans="1:27">
      <c r="A82" s="23">
        <v>20</v>
      </c>
      <c r="B82" s="24" t="s">
        <v>199</v>
      </c>
      <c r="C82" s="24" t="s">
        <v>200</v>
      </c>
      <c r="D82" s="24" t="s">
        <v>201</v>
      </c>
      <c r="E82" s="24" t="s">
        <v>202</v>
      </c>
      <c r="F82" s="24" t="s">
        <v>192</v>
      </c>
      <c r="G82" s="24" t="s">
        <v>203</v>
      </c>
      <c r="H82" s="24" t="s">
        <v>193</v>
      </c>
      <c r="I82" s="24" t="s">
        <v>194</v>
      </c>
      <c r="J82" s="24" t="s">
        <v>196</v>
      </c>
      <c r="K82" s="24" t="s">
        <v>195</v>
      </c>
      <c r="L82" s="24" t="s">
        <v>191</v>
      </c>
      <c r="M82" s="24" t="s">
        <v>190</v>
      </c>
      <c r="N82" s="24" t="s">
        <v>190</v>
      </c>
      <c r="O82" s="24" t="s">
        <v>190</v>
      </c>
      <c r="P82" s="24" t="s">
        <v>190</v>
      </c>
      <c r="Q82" s="24" t="s">
        <v>193</v>
      </c>
      <c r="R82" s="24" t="s">
        <v>215</v>
      </c>
      <c r="S82" s="24" t="s">
        <v>216</v>
      </c>
      <c r="T82" s="24" t="s">
        <v>214</v>
      </c>
      <c r="U82" s="24" t="s">
        <v>210</v>
      </c>
      <c r="V82" s="24" t="s">
        <v>227</v>
      </c>
      <c r="W82" s="24" t="s">
        <v>190</v>
      </c>
      <c r="X82" s="24" t="s">
        <v>217</v>
      </c>
      <c r="Y82" s="24" t="s">
        <v>220</v>
      </c>
      <c r="Z82" s="24" t="s">
        <v>198</v>
      </c>
      <c r="AA82" s="25">
        <v>43574.873904282409</v>
      </c>
    </row>
    <row r="83" spans="1:27">
      <c r="A83" s="23">
        <v>19</v>
      </c>
      <c r="B83" s="24" t="s">
        <v>199</v>
      </c>
      <c r="C83" s="24" t="s">
        <v>200</v>
      </c>
      <c r="D83" s="24" t="s">
        <v>201</v>
      </c>
      <c r="E83" s="24" t="s">
        <v>202</v>
      </c>
      <c r="F83" s="24" t="s">
        <v>192</v>
      </c>
      <c r="G83" s="24" t="s">
        <v>203</v>
      </c>
      <c r="H83" s="24" t="s">
        <v>193</v>
      </c>
      <c r="I83" s="24" t="s">
        <v>194</v>
      </c>
      <c r="J83" s="24" t="s">
        <v>196</v>
      </c>
      <c r="K83" s="24" t="s">
        <v>195</v>
      </c>
      <c r="L83" s="24" t="s">
        <v>191</v>
      </c>
      <c r="M83" s="24" t="s">
        <v>190</v>
      </c>
      <c r="N83" s="24" t="s">
        <v>190</v>
      </c>
      <c r="O83" s="24" t="s">
        <v>190</v>
      </c>
      <c r="P83" s="24" t="s">
        <v>190</v>
      </c>
      <c r="Q83" s="24" t="s">
        <v>193</v>
      </c>
      <c r="R83" s="24" t="s">
        <v>215</v>
      </c>
      <c r="S83" s="24" t="s">
        <v>216</v>
      </c>
      <c r="T83" s="24" t="s">
        <v>214</v>
      </c>
      <c r="U83" s="24" t="s">
        <v>210</v>
      </c>
      <c r="V83" s="24" t="s">
        <v>226</v>
      </c>
      <c r="W83" s="24" t="s">
        <v>190</v>
      </c>
      <c r="X83" s="24" t="s">
        <v>217</v>
      </c>
      <c r="Y83" s="24" t="s">
        <v>220</v>
      </c>
      <c r="Z83" s="24" t="s">
        <v>198</v>
      </c>
      <c r="AA83" s="25">
        <v>43574.873900694445</v>
      </c>
    </row>
    <row r="84" spans="1:27">
      <c r="A84" s="23">
        <v>18</v>
      </c>
      <c r="B84" s="24" t="s">
        <v>199</v>
      </c>
      <c r="C84" s="24" t="s">
        <v>200</v>
      </c>
      <c r="D84" s="24" t="s">
        <v>201</v>
      </c>
      <c r="E84" s="24" t="s">
        <v>202</v>
      </c>
      <c r="F84" s="24" t="s">
        <v>192</v>
      </c>
      <c r="G84" s="24" t="s">
        <v>203</v>
      </c>
      <c r="H84" s="24" t="s">
        <v>193</v>
      </c>
      <c r="I84" s="24" t="s">
        <v>194</v>
      </c>
      <c r="J84" s="24" t="s">
        <v>196</v>
      </c>
      <c r="K84" s="24" t="s">
        <v>195</v>
      </c>
      <c r="L84" s="24" t="s">
        <v>191</v>
      </c>
      <c r="M84" s="24" t="s">
        <v>190</v>
      </c>
      <c r="N84" s="24" t="s">
        <v>190</v>
      </c>
      <c r="O84" s="24" t="s">
        <v>190</v>
      </c>
      <c r="P84" s="24" t="s">
        <v>190</v>
      </c>
      <c r="Q84" s="24" t="s">
        <v>193</v>
      </c>
      <c r="R84" s="24" t="s">
        <v>215</v>
      </c>
      <c r="S84" s="24" t="s">
        <v>216</v>
      </c>
      <c r="T84" s="24" t="s">
        <v>214</v>
      </c>
      <c r="U84" s="24" t="s">
        <v>210</v>
      </c>
      <c r="V84" s="24" t="s">
        <v>223</v>
      </c>
      <c r="W84" s="24" t="s">
        <v>190</v>
      </c>
      <c r="X84" s="24" t="s">
        <v>206</v>
      </c>
      <c r="Y84" s="24" t="s">
        <v>220</v>
      </c>
      <c r="Z84" s="24" t="s">
        <v>198</v>
      </c>
      <c r="AA84" s="25">
        <v>43574.873776736109</v>
      </c>
    </row>
    <row r="85" spans="1:27">
      <c r="A85" s="23">
        <v>17</v>
      </c>
      <c r="B85" s="24" t="s">
        <v>199</v>
      </c>
      <c r="C85" s="24" t="s">
        <v>200</v>
      </c>
      <c r="D85" s="24" t="s">
        <v>201</v>
      </c>
      <c r="E85" s="24" t="s">
        <v>202</v>
      </c>
      <c r="F85" s="24" t="s">
        <v>192</v>
      </c>
      <c r="G85" s="24" t="s">
        <v>209</v>
      </c>
      <c r="H85" s="24" t="s">
        <v>193</v>
      </c>
      <c r="I85" s="24" t="s">
        <v>194</v>
      </c>
      <c r="J85" s="24" t="s">
        <v>196</v>
      </c>
      <c r="K85" s="24" t="s">
        <v>195</v>
      </c>
      <c r="L85" s="24" t="s">
        <v>191</v>
      </c>
      <c r="M85" s="24" t="s">
        <v>190</v>
      </c>
      <c r="N85" s="24" t="s">
        <v>190</v>
      </c>
      <c r="O85" s="24" t="s">
        <v>190</v>
      </c>
      <c r="P85" s="24" t="s">
        <v>190</v>
      </c>
      <c r="Q85" s="24" t="s">
        <v>193</v>
      </c>
      <c r="R85" s="24" t="s">
        <v>215</v>
      </c>
      <c r="S85" s="24" t="s">
        <v>216</v>
      </c>
      <c r="T85" s="24" t="s">
        <v>214</v>
      </c>
      <c r="U85" s="24" t="s">
        <v>210</v>
      </c>
      <c r="V85" s="24" t="s">
        <v>225</v>
      </c>
      <c r="W85" s="24" t="s">
        <v>190</v>
      </c>
      <c r="X85" s="24" t="s">
        <v>217</v>
      </c>
      <c r="Y85" s="24" t="s">
        <v>220</v>
      </c>
      <c r="Z85" s="24" t="s">
        <v>198</v>
      </c>
      <c r="AA85" s="25">
        <v>43574.87228599537</v>
      </c>
    </row>
    <row r="86" spans="1:27">
      <c r="A86" s="23">
        <v>16</v>
      </c>
      <c r="B86" s="24" t="s">
        <v>199</v>
      </c>
      <c r="C86" s="24" t="s">
        <v>200</v>
      </c>
      <c r="D86" s="24" t="s">
        <v>201</v>
      </c>
      <c r="E86" s="24" t="s">
        <v>202</v>
      </c>
      <c r="F86" s="24" t="s">
        <v>192</v>
      </c>
      <c r="G86" s="24" t="s">
        <v>209</v>
      </c>
      <c r="H86" s="24" t="s">
        <v>193</v>
      </c>
      <c r="I86" s="24" t="s">
        <v>194</v>
      </c>
      <c r="J86" s="24" t="s">
        <v>196</v>
      </c>
      <c r="K86" s="24" t="s">
        <v>195</v>
      </c>
      <c r="L86" s="24" t="s">
        <v>191</v>
      </c>
      <c r="M86" s="24" t="s">
        <v>190</v>
      </c>
      <c r="N86" s="24" t="s">
        <v>190</v>
      </c>
      <c r="O86" s="24" t="s">
        <v>190</v>
      </c>
      <c r="P86" s="24" t="s">
        <v>190</v>
      </c>
      <c r="Q86" s="24" t="s">
        <v>193</v>
      </c>
      <c r="R86" s="24" t="s">
        <v>215</v>
      </c>
      <c r="S86" s="24" t="s">
        <v>216</v>
      </c>
      <c r="T86" s="24" t="s">
        <v>214</v>
      </c>
      <c r="U86" s="24" t="s">
        <v>210</v>
      </c>
      <c r="V86" s="24" t="s">
        <v>224</v>
      </c>
      <c r="W86" s="24" t="s">
        <v>190</v>
      </c>
      <c r="X86" s="24" t="s">
        <v>217</v>
      </c>
      <c r="Y86" s="24" t="s">
        <v>220</v>
      </c>
      <c r="Z86" s="24" t="s">
        <v>198</v>
      </c>
      <c r="AA86" s="25">
        <v>43574.872282407407</v>
      </c>
    </row>
    <row r="87" spans="1:27">
      <c r="A87" s="23">
        <v>15</v>
      </c>
      <c r="B87" s="24" t="s">
        <v>199</v>
      </c>
      <c r="C87" s="24" t="s">
        <v>200</v>
      </c>
      <c r="D87" s="24" t="s">
        <v>201</v>
      </c>
      <c r="E87" s="24" t="s">
        <v>202</v>
      </c>
      <c r="F87" s="24" t="s">
        <v>192</v>
      </c>
      <c r="G87" s="24" t="s">
        <v>209</v>
      </c>
      <c r="H87" s="24" t="s">
        <v>193</v>
      </c>
      <c r="I87" s="24" t="s">
        <v>194</v>
      </c>
      <c r="J87" s="24" t="s">
        <v>196</v>
      </c>
      <c r="K87" s="24" t="s">
        <v>195</v>
      </c>
      <c r="L87" s="24" t="s">
        <v>191</v>
      </c>
      <c r="M87" s="24" t="s">
        <v>190</v>
      </c>
      <c r="N87" s="24" t="s">
        <v>190</v>
      </c>
      <c r="O87" s="24" t="s">
        <v>190</v>
      </c>
      <c r="P87" s="24" t="s">
        <v>190</v>
      </c>
      <c r="Q87" s="24" t="s">
        <v>193</v>
      </c>
      <c r="R87" s="24" t="s">
        <v>215</v>
      </c>
      <c r="S87" s="24" t="s">
        <v>216</v>
      </c>
      <c r="T87" s="24" t="s">
        <v>214</v>
      </c>
      <c r="U87" s="24" t="s">
        <v>210</v>
      </c>
      <c r="V87" s="24" t="s">
        <v>223</v>
      </c>
      <c r="W87" s="24" t="s">
        <v>190</v>
      </c>
      <c r="X87" s="24" t="s">
        <v>206</v>
      </c>
      <c r="Y87" s="24" t="s">
        <v>220</v>
      </c>
      <c r="Z87" s="24" t="s">
        <v>198</v>
      </c>
      <c r="AA87" s="25">
        <v>43574.872278935189</v>
      </c>
    </row>
    <row r="88" spans="1:27">
      <c r="A88" s="23">
        <v>14</v>
      </c>
      <c r="B88" s="24" t="s">
        <v>199</v>
      </c>
      <c r="C88" s="24" t="s">
        <v>200</v>
      </c>
      <c r="D88" s="24" t="s">
        <v>201</v>
      </c>
      <c r="E88" s="24" t="s">
        <v>202</v>
      </c>
      <c r="F88" s="24" t="s">
        <v>192</v>
      </c>
      <c r="G88" s="24" t="s">
        <v>209</v>
      </c>
      <c r="H88" s="24" t="s">
        <v>193</v>
      </c>
      <c r="I88" s="24" t="s">
        <v>194</v>
      </c>
      <c r="J88" s="24" t="s">
        <v>196</v>
      </c>
      <c r="K88" s="24" t="s">
        <v>195</v>
      </c>
      <c r="L88" s="24" t="s">
        <v>191</v>
      </c>
      <c r="M88" s="24" t="s">
        <v>190</v>
      </c>
      <c r="N88" s="24" t="s">
        <v>190</v>
      </c>
      <c r="O88" s="24" t="s">
        <v>190</v>
      </c>
      <c r="P88" s="24" t="s">
        <v>190</v>
      </c>
      <c r="Q88" s="24" t="s">
        <v>193</v>
      </c>
      <c r="R88" s="24" t="s">
        <v>215</v>
      </c>
      <c r="S88" s="24" t="s">
        <v>216</v>
      </c>
      <c r="T88" s="24" t="s">
        <v>214</v>
      </c>
      <c r="U88" s="24" t="s">
        <v>210</v>
      </c>
      <c r="V88" s="24" t="s">
        <v>222</v>
      </c>
      <c r="W88" s="24" t="s">
        <v>190</v>
      </c>
      <c r="X88" s="24" t="s">
        <v>206</v>
      </c>
      <c r="Y88" s="24" t="s">
        <v>220</v>
      </c>
      <c r="Z88" s="24" t="s">
        <v>198</v>
      </c>
      <c r="AA88" s="25">
        <v>43574.872275347225</v>
      </c>
    </row>
    <row r="89" spans="1:27">
      <c r="A89" s="23">
        <v>13</v>
      </c>
      <c r="B89" s="24" t="s">
        <v>199</v>
      </c>
      <c r="C89" s="24" t="s">
        <v>200</v>
      </c>
      <c r="D89" s="24" t="s">
        <v>201</v>
      </c>
      <c r="E89" s="24" t="s">
        <v>202</v>
      </c>
      <c r="F89" s="24" t="s">
        <v>192</v>
      </c>
      <c r="G89" s="24" t="s">
        <v>209</v>
      </c>
      <c r="H89" s="24" t="s">
        <v>193</v>
      </c>
      <c r="I89" s="24" t="s">
        <v>194</v>
      </c>
      <c r="J89" s="24" t="s">
        <v>196</v>
      </c>
      <c r="K89" s="24" t="s">
        <v>195</v>
      </c>
      <c r="L89" s="24" t="s">
        <v>191</v>
      </c>
      <c r="M89" s="24" t="s">
        <v>190</v>
      </c>
      <c r="N89" s="24" t="s">
        <v>190</v>
      </c>
      <c r="O89" s="24" t="s">
        <v>190</v>
      </c>
      <c r="P89" s="24" t="s">
        <v>190</v>
      </c>
      <c r="Q89" s="24" t="s">
        <v>193</v>
      </c>
      <c r="R89" s="24" t="s">
        <v>215</v>
      </c>
      <c r="S89" s="24" t="s">
        <v>216</v>
      </c>
      <c r="T89" s="24" t="s">
        <v>214</v>
      </c>
      <c r="U89" s="24" t="s">
        <v>210</v>
      </c>
      <c r="V89" s="24" t="s">
        <v>221</v>
      </c>
      <c r="W89" s="24" t="s">
        <v>190</v>
      </c>
      <c r="X89" s="24" t="s">
        <v>206</v>
      </c>
      <c r="Y89" s="24" t="s">
        <v>220</v>
      </c>
      <c r="Z89" s="24" t="s">
        <v>198</v>
      </c>
      <c r="AA89" s="25">
        <v>43574.872148842594</v>
      </c>
    </row>
    <row r="90" spans="1:27">
      <c r="A90" s="23">
        <v>12</v>
      </c>
      <c r="B90" s="24" t="s">
        <v>199</v>
      </c>
      <c r="C90" s="24" t="s">
        <v>200</v>
      </c>
      <c r="D90" s="24" t="s">
        <v>201</v>
      </c>
      <c r="E90" s="24" t="s">
        <v>202</v>
      </c>
      <c r="F90" s="24" t="s">
        <v>192</v>
      </c>
      <c r="G90" s="24" t="s">
        <v>203</v>
      </c>
      <c r="H90" s="24" t="s">
        <v>193</v>
      </c>
      <c r="I90" s="24" t="s">
        <v>194</v>
      </c>
      <c r="J90" s="24" t="s">
        <v>196</v>
      </c>
      <c r="K90" s="24" t="s">
        <v>195</v>
      </c>
      <c r="L90" s="24" t="s">
        <v>191</v>
      </c>
      <c r="M90" s="24" t="s">
        <v>190</v>
      </c>
      <c r="N90" s="24" t="s">
        <v>190</v>
      </c>
      <c r="O90" s="24" t="s">
        <v>190</v>
      </c>
      <c r="P90" s="24" t="s">
        <v>190</v>
      </c>
      <c r="Q90" s="24" t="s">
        <v>193</v>
      </c>
      <c r="R90" s="24" t="s">
        <v>215</v>
      </c>
      <c r="S90" s="24" t="s">
        <v>216</v>
      </c>
      <c r="T90" s="24" t="s">
        <v>214</v>
      </c>
      <c r="U90" s="24" t="s">
        <v>210</v>
      </c>
      <c r="V90" s="24" t="s">
        <v>211</v>
      </c>
      <c r="W90" s="24" t="s">
        <v>190</v>
      </c>
      <c r="X90" s="24" t="s">
        <v>219</v>
      </c>
      <c r="Y90" s="24" t="s">
        <v>218</v>
      </c>
      <c r="Z90" s="24" t="s">
        <v>198</v>
      </c>
      <c r="AA90" s="25">
        <v>43574.867655208334</v>
      </c>
    </row>
    <row r="91" spans="1:27">
      <c r="A91" s="23">
        <v>11</v>
      </c>
      <c r="B91" s="24" t="s">
        <v>199</v>
      </c>
      <c r="C91" s="24" t="s">
        <v>200</v>
      </c>
      <c r="D91" s="24" t="s">
        <v>201</v>
      </c>
      <c r="E91" s="24" t="s">
        <v>202</v>
      </c>
      <c r="F91" s="24" t="s">
        <v>192</v>
      </c>
      <c r="G91" s="24" t="s">
        <v>209</v>
      </c>
      <c r="H91" s="24" t="s">
        <v>193</v>
      </c>
      <c r="I91" s="24" t="s">
        <v>194</v>
      </c>
      <c r="J91" s="24" t="s">
        <v>196</v>
      </c>
      <c r="K91" s="24" t="s">
        <v>195</v>
      </c>
      <c r="L91" s="24" t="s">
        <v>191</v>
      </c>
      <c r="M91" s="24" t="s">
        <v>190</v>
      </c>
      <c r="N91" s="24" t="s">
        <v>190</v>
      </c>
      <c r="O91" s="24" t="s">
        <v>190</v>
      </c>
      <c r="P91" s="24" t="s">
        <v>190</v>
      </c>
      <c r="Q91" s="24" t="s">
        <v>193</v>
      </c>
      <c r="R91" s="24" t="s">
        <v>215</v>
      </c>
      <c r="S91" s="24" t="s">
        <v>216</v>
      </c>
      <c r="T91" s="24" t="s">
        <v>214</v>
      </c>
      <c r="U91" s="24" t="s">
        <v>210</v>
      </c>
      <c r="V91" s="24" t="s">
        <v>211</v>
      </c>
      <c r="W91" s="24" t="s">
        <v>190</v>
      </c>
      <c r="X91" s="24" t="s">
        <v>206</v>
      </c>
      <c r="Y91" s="24" t="s">
        <v>218</v>
      </c>
      <c r="Z91" s="24" t="s">
        <v>198</v>
      </c>
      <c r="AA91" s="25">
        <v>43574.86765162037</v>
      </c>
    </row>
    <row r="92" spans="1:27">
      <c r="A92" s="23">
        <v>10</v>
      </c>
      <c r="B92" s="24" t="s">
        <v>199</v>
      </c>
      <c r="C92" s="24" t="s">
        <v>200</v>
      </c>
      <c r="D92" s="24" t="s">
        <v>201</v>
      </c>
      <c r="E92" s="24" t="s">
        <v>202</v>
      </c>
      <c r="F92" s="24" t="s">
        <v>192</v>
      </c>
      <c r="G92" s="24" t="s">
        <v>209</v>
      </c>
      <c r="H92" s="24" t="s">
        <v>193</v>
      </c>
      <c r="I92" s="24" t="s">
        <v>194</v>
      </c>
      <c r="J92" s="24" t="s">
        <v>196</v>
      </c>
      <c r="K92" s="24" t="s">
        <v>195</v>
      </c>
      <c r="L92" s="24" t="s">
        <v>191</v>
      </c>
      <c r="M92" s="24" t="s">
        <v>190</v>
      </c>
      <c r="N92" s="24" t="s">
        <v>190</v>
      </c>
      <c r="O92" s="24" t="s">
        <v>190</v>
      </c>
      <c r="P92" s="24" t="s">
        <v>190</v>
      </c>
      <c r="Q92" s="24" t="s">
        <v>193</v>
      </c>
      <c r="R92" s="24" t="s">
        <v>215</v>
      </c>
      <c r="S92" s="24" t="s">
        <v>216</v>
      </c>
      <c r="T92" s="24" t="s">
        <v>214</v>
      </c>
      <c r="U92" s="24" t="s">
        <v>205</v>
      </c>
      <c r="V92" s="24" t="s">
        <v>207</v>
      </c>
      <c r="W92" s="24" t="s">
        <v>208</v>
      </c>
      <c r="X92" s="24" t="s">
        <v>217</v>
      </c>
      <c r="Y92" s="24" t="s">
        <v>213</v>
      </c>
      <c r="Z92" s="24" t="s">
        <v>198</v>
      </c>
      <c r="AA92" s="25">
        <v>43574.867647800929</v>
      </c>
    </row>
    <row r="93" spans="1:27">
      <c r="A93" s="23">
        <v>9</v>
      </c>
      <c r="B93" s="24" t="s">
        <v>199</v>
      </c>
      <c r="C93" s="24" t="s">
        <v>200</v>
      </c>
      <c r="D93" s="24" t="s">
        <v>201</v>
      </c>
      <c r="E93" s="24" t="s">
        <v>202</v>
      </c>
      <c r="F93" s="24" t="s">
        <v>192</v>
      </c>
      <c r="G93" s="24" t="s">
        <v>203</v>
      </c>
      <c r="H93" s="24" t="s">
        <v>193</v>
      </c>
      <c r="I93" s="24" t="s">
        <v>194</v>
      </c>
      <c r="J93" s="24" t="s">
        <v>196</v>
      </c>
      <c r="K93" s="24" t="s">
        <v>195</v>
      </c>
      <c r="L93" s="24" t="s">
        <v>191</v>
      </c>
      <c r="M93" s="24" t="s">
        <v>190</v>
      </c>
      <c r="N93" s="24" t="s">
        <v>190</v>
      </c>
      <c r="O93" s="24" t="s">
        <v>190</v>
      </c>
      <c r="P93" s="24" t="s">
        <v>190</v>
      </c>
      <c r="Q93" s="24" t="s">
        <v>193</v>
      </c>
      <c r="R93" s="24" t="s">
        <v>215</v>
      </c>
      <c r="S93" s="24" t="s">
        <v>216</v>
      </c>
      <c r="T93" s="24" t="s">
        <v>214</v>
      </c>
      <c r="U93" s="24" t="s">
        <v>205</v>
      </c>
      <c r="V93" s="24" t="s">
        <v>207</v>
      </c>
      <c r="W93" s="24" t="s">
        <v>208</v>
      </c>
      <c r="X93" s="24" t="s">
        <v>217</v>
      </c>
      <c r="Y93" s="24" t="s">
        <v>213</v>
      </c>
      <c r="Z93" s="24" t="s">
        <v>198</v>
      </c>
      <c r="AA93" s="25">
        <v>43574.867541319443</v>
      </c>
    </row>
    <row r="94" spans="1:27">
      <c r="A94" s="23">
        <v>8</v>
      </c>
      <c r="B94" s="24" t="s">
        <v>199</v>
      </c>
      <c r="C94" s="24" t="s">
        <v>200</v>
      </c>
      <c r="D94" s="24" t="s">
        <v>201</v>
      </c>
      <c r="E94" s="24" t="s">
        <v>202</v>
      </c>
      <c r="F94" s="24" t="s">
        <v>192</v>
      </c>
      <c r="G94" s="24" t="s">
        <v>203</v>
      </c>
      <c r="H94" s="24" t="s">
        <v>193</v>
      </c>
      <c r="I94" s="24" t="s">
        <v>194</v>
      </c>
      <c r="J94" s="24" t="s">
        <v>196</v>
      </c>
      <c r="K94" s="24" t="s">
        <v>195</v>
      </c>
      <c r="L94" s="24" t="s">
        <v>191</v>
      </c>
      <c r="M94" s="24" t="s">
        <v>190</v>
      </c>
      <c r="N94" s="24" t="s">
        <v>190</v>
      </c>
      <c r="O94" s="24" t="s">
        <v>190</v>
      </c>
      <c r="P94" s="24" t="s">
        <v>190</v>
      </c>
      <c r="Q94" s="24" t="s">
        <v>191</v>
      </c>
      <c r="R94" s="24" t="s">
        <v>190</v>
      </c>
      <c r="S94" s="24" t="s">
        <v>190</v>
      </c>
      <c r="T94" s="24" t="s">
        <v>204</v>
      </c>
      <c r="U94" s="24" t="s">
        <v>205</v>
      </c>
      <c r="V94" s="24" t="s">
        <v>211</v>
      </c>
      <c r="W94" s="24" t="s">
        <v>212</v>
      </c>
      <c r="X94" s="24" t="s">
        <v>206</v>
      </c>
      <c r="Y94" s="24" t="s">
        <v>197</v>
      </c>
      <c r="Z94" s="24" t="s">
        <v>198</v>
      </c>
      <c r="AA94" s="25">
        <v>43574.860300578701</v>
      </c>
    </row>
    <row r="95" spans="1:27">
      <c r="A95" s="23">
        <v>7</v>
      </c>
      <c r="B95" s="24" t="s">
        <v>199</v>
      </c>
      <c r="C95" s="24" t="s">
        <v>200</v>
      </c>
      <c r="D95" s="24" t="s">
        <v>201</v>
      </c>
      <c r="E95" s="24" t="s">
        <v>202</v>
      </c>
      <c r="F95" s="24" t="s">
        <v>192</v>
      </c>
      <c r="G95" s="24" t="s">
        <v>209</v>
      </c>
      <c r="H95" s="24" t="s">
        <v>193</v>
      </c>
      <c r="I95" s="24" t="s">
        <v>194</v>
      </c>
      <c r="J95" s="24" t="s">
        <v>196</v>
      </c>
      <c r="K95" s="24" t="s">
        <v>195</v>
      </c>
      <c r="L95" s="24" t="s">
        <v>191</v>
      </c>
      <c r="M95" s="24" t="s">
        <v>190</v>
      </c>
      <c r="N95" s="24" t="s">
        <v>190</v>
      </c>
      <c r="O95" s="24" t="s">
        <v>190</v>
      </c>
      <c r="P95" s="24" t="s">
        <v>190</v>
      </c>
      <c r="Q95" s="24" t="s">
        <v>191</v>
      </c>
      <c r="R95" s="24" t="s">
        <v>190</v>
      </c>
      <c r="S95" s="24" t="s">
        <v>190</v>
      </c>
      <c r="T95" s="24" t="s">
        <v>204</v>
      </c>
      <c r="U95" s="24" t="s">
        <v>205</v>
      </c>
      <c r="V95" s="24" t="s">
        <v>211</v>
      </c>
      <c r="W95" s="24" t="s">
        <v>212</v>
      </c>
      <c r="X95" s="24" t="s">
        <v>206</v>
      </c>
      <c r="Y95" s="24" t="s">
        <v>197</v>
      </c>
      <c r="Z95" s="24" t="s">
        <v>198</v>
      </c>
      <c r="AA95" s="25">
        <v>43574.860297222222</v>
      </c>
    </row>
    <row r="96" spans="1:27">
      <c r="A96" s="23">
        <v>6</v>
      </c>
      <c r="B96" s="24" t="s">
        <v>199</v>
      </c>
      <c r="C96" s="24" t="s">
        <v>200</v>
      </c>
      <c r="D96" s="24" t="s">
        <v>201</v>
      </c>
      <c r="E96" s="24" t="s">
        <v>202</v>
      </c>
      <c r="F96" s="24" t="s">
        <v>192</v>
      </c>
      <c r="G96" s="24" t="s">
        <v>209</v>
      </c>
      <c r="H96" s="24" t="s">
        <v>193</v>
      </c>
      <c r="I96" s="24" t="s">
        <v>194</v>
      </c>
      <c r="J96" s="24" t="s">
        <v>196</v>
      </c>
      <c r="K96" s="24" t="s">
        <v>195</v>
      </c>
      <c r="L96" s="24" t="s">
        <v>191</v>
      </c>
      <c r="M96" s="24" t="s">
        <v>190</v>
      </c>
      <c r="N96" s="24" t="s">
        <v>190</v>
      </c>
      <c r="O96" s="24" t="s">
        <v>190</v>
      </c>
      <c r="P96" s="24" t="s">
        <v>190</v>
      </c>
      <c r="Q96" s="24" t="s">
        <v>191</v>
      </c>
      <c r="R96" s="24" t="s">
        <v>190</v>
      </c>
      <c r="S96" s="24" t="s">
        <v>190</v>
      </c>
      <c r="T96" s="24" t="s">
        <v>204</v>
      </c>
      <c r="U96" s="24" t="s">
        <v>210</v>
      </c>
      <c r="V96" s="24" t="s">
        <v>211</v>
      </c>
      <c r="W96" s="24" t="s">
        <v>190</v>
      </c>
      <c r="X96" s="24" t="s">
        <v>206</v>
      </c>
      <c r="Y96" s="24" t="s">
        <v>197</v>
      </c>
      <c r="Z96" s="24" t="s">
        <v>198</v>
      </c>
      <c r="AA96" s="25">
        <v>43574.860293750004</v>
      </c>
    </row>
    <row r="97" spans="1:27">
      <c r="A97" s="23">
        <v>5</v>
      </c>
      <c r="B97" s="24" t="s">
        <v>199</v>
      </c>
      <c r="C97" s="24" t="s">
        <v>200</v>
      </c>
      <c r="D97" s="24" t="s">
        <v>201</v>
      </c>
      <c r="E97" s="24" t="s">
        <v>202</v>
      </c>
      <c r="F97" s="24" t="s">
        <v>192</v>
      </c>
      <c r="G97" s="24" t="s">
        <v>203</v>
      </c>
      <c r="H97" s="24" t="s">
        <v>193</v>
      </c>
      <c r="I97" s="24" t="s">
        <v>194</v>
      </c>
      <c r="J97" s="24" t="s">
        <v>196</v>
      </c>
      <c r="K97" s="24" t="s">
        <v>195</v>
      </c>
      <c r="L97" s="24" t="s">
        <v>191</v>
      </c>
      <c r="M97" s="24" t="s">
        <v>190</v>
      </c>
      <c r="N97" s="24" t="s">
        <v>190</v>
      </c>
      <c r="O97" s="24" t="s">
        <v>190</v>
      </c>
      <c r="P97" s="24" t="s">
        <v>190</v>
      </c>
      <c r="Q97" s="24" t="s">
        <v>191</v>
      </c>
      <c r="R97" s="24" t="s">
        <v>190</v>
      </c>
      <c r="S97" s="24" t="s">
        <v>190</v>
      </c>
      <c r="T97" s="24" t="s">
        <v>204</v>
      </c>
      <c r="U97" s="24" t="s">
        <v>210</v>
      </c>
      <c r="V97" s="24" t="s">
        <v>211</v>
      </c>
      <c r="W97" s="24" t="s">
        <v>190</v>
      </c>
      <c r="X97" s="24" t="s">
        <v>206</v>
      </c>
      <c r="Y97" s="24" t="s">
        <v>197</v>
      </c>
      <c r="Z97" s="24" t="s">
        <v>198</v>
      </c>
      <c r="AA97" s="25">
        <v>43574.860290277778</v>
      </c>
    </row>
    <row r="98" spans="1:27">
      <c r="A98" s="23">
        <v>4</v>
      </c>
      <c r="B98" s="24" t="s">
        <v>199</v>
      </c>
      <c r="C98" s="24" t="s">
        <v>200</v>
      </c>
      <c r="D98" s="24" t="s">
        <v>201</v>
      </c>
      <c r="E98" s="24" t="s">
        <v>202</v>
      </c>
      <c r="F98" s="24" t="s">
        <v>192</v>
      </c>
      <c r="G98" s="24" t="s">
        <v>203</v>
      </c>
      <c r="H98" s="24" t="s">
        <v>193</v>
      </c>
      <c r="I98" s="24" t="s">
        <v>194</v>
      </c>
      <c r="J98" s="24" t="s">
        <v>196</v>
      </c>
      <c r="K98" s="24" t="s">
        <v>195</v>
      </c>
      <c r="L98" s="24" t="s">
        <v>191</v>
      </c>
      <c r="M98" s="24" t="s">
        <v>190</v>
      </c>
      <c r="N98" s="24" t="s">
        <v>190</v>
      </c>
      <c r="O98" s="24" t="s">
        <v>190</v>
      </c>
      <c r="P98" s="24" t="s">
        <v>190</v>
      </c>
      <c r="Q98" s="24" t="s">
        <v>191</v>
      </c>
      <c r="R98" s="24" t="s">
        <v>190</v>
      </c>
      <c r="S98" s="24" t="s">
        <v>190</v>
      </c>
      <c r="T98" s="24" t="s">
        <v>204</v>
      </c>
      <c r="U98" s="24" t="s">
        <v>210</v>
      </c>
      <c r="V98" s="24" t="s">
        <v>207</v>
      </c>
      <c r="W98" s="24" t="s">
        <v>190</v>
      </c>
      <c r="X98" s="24" t="s">
        <v>206</v>
      </c>
      <c r="Y98" s="24" t="s">
        <v>197</v>
      </c>
      <c r="Z98" s="24" t="s">
        <v>198</v>
      </c>
      <c r="AA98" s="25">
        <v>43574.860286689815</v>
      </c>
    </row>
    <row r="99" spans="1:27">
      <c r="A99" s="23">
        <v>3</v>
      </c>
      <c r="B99" s="24" t="s">
        <v>199</v>
      </c>
      <c r="C99" s="24" t="s">
        <v>200</v>
      </c>
      <c r="D99" s="24" t="s">
        <v>201</v>
      </c>
      <c r="E99" s="24" t="s">
        <v>202</v>
      </c>
      <c r="F99" s="24" t="s">
        <v>192</v>
      </c>
      <c r="G99" s="24" t="s">
        <v>209</v>
      </c>
      <c r="H99" s="24" t="s">
        <v>193</v>
      </c>
      <c r="I99" s="24" t="s">
        <v>194</v>
      </c>
      <c r="J99" s="24" t="s">
        <v>196</v>
      </c>
      <c r="K99" s="24" t="s">
        <v>195</v>
      </c>
      <c r="L99" s="24" t="s">
        <v>191</v>
      </c>
      <c r="M99" s="24" t="s">
        <v>190</v>
      </c>
      <c r="N99" s="24" t="s">
        <v>190</v>
      </c>
      <c r="O99" s="24" t="s">
        <v>190</v>
      </c>
      <c r="P99" s="24" t="s">
        <v>190</v>
      </c>
      <c r="Q99" s="24" t="s">
        <v>191</v>
      </c>
      <c r="R99" s="24" t="s">
        <v>190</v>
      </c>
      <c r="S99" s="24" t="s">
        <v>190</v>
      </c>
      <c r="T99" s="24" t="s">
        <v>204</v>
      </c>
      <c r="U99" s="24" t="s">
        <v>210</v>
      </c>
      <c r="V99" s="24" t="s">
        <v>207</v>
      </c>
      <c r="W99" s="24" t="s">
        <v>190</v>
      </c>
      <c r="X99" s="24" t="s">
        <v>206</v>
      </c>
      <c r="Y99" s="24" t="s">
        <v>197</v>
      </c>
      <c r="Z99" s="24" t="s">
        <v>198</v>
      </c>
      <c r="AA99" s="25">
        <v>43574.860283217589</v>
      </c>
    </row>
    <row r="100" spans="1:27">
      <c r="A100" s="23">
        <v>2</v>
      </c>
      <c r="B100" s="24" t="s">
        <v>199</v>
      </c>
      <c r="C100" s="24" t="s">
        <v>200</v>
      </c>
      <c r="D100" s="24" t="s">
        <v>201</v>
      </c>
      <c r="E100" s="24" t="s">
        <v>202</v>
      </c>
      <c r="F100" s="24" t="s">
        <v>192</v>
      </c>
      <c r="G100" s="24" t="s">
        <v>209</v>
      </c>
      <c r="H100" s="24" t="s">
        <v>193</v>
      </c>
      <c r="I100" s="24" t="s">
        <v>194</v>
      </c>
      <c r="J100" s="24" t="s">
        <v>196</v>
      </c>
      <c r="K100" s="24" t="s">
        <v>195</v>
      </c>
      <c r="L100" s="24" t="s">
        <v>191</v>
      </c>
      <c r="M100" s="24" t="s">
        <v>190</v>
      </c>
      <c r="N100" s="24" t="s">
        <v>190</v>
      </c>
      <c r="O100" s="24" t="s">
        <v>190</v>
      </c>
      <c r="P100" s="24" t="s">
        <v>190</v>
      </c>
      <c r="Q100" s="24" t="s">
        <v>191</v>
      </c>
      <c r="R100" s="24" t="s">
        <v>190</v>
      </c>
      <c r="S100" s="24" t="s">
        <v>190</v>
      </c>
      <c r="T100" s="24" t="s">
        <v>204</v>
      </c>
      <c r="U100" s="24" t="s">
        <v>205</v>
      </c>
      <c r="V100" s="24" t="s">
        <v>207</v>
      </c>
      <c r="W100" s="24" t="s">
        <v>208</v>
      </c>
      <c r="X100" s="24" t="s">
        <v>206</v>
      </c>
      <c r="Y100" s="24" t="s">
        <v>197</v>
      </c>
      <c r="Z100" s="24" t="s">
        <v>198</v>
      </c>
      <c r="AA100" s="25">
        <v>43574.860279398148</v>
      </c>
    </row>
    <row r="101" spans="1:27">
      <c r="A101" s="23">
        <v>1</v>
      </c>
      <c r="B101" s="24" t="s">
        <v>199</v>
      </c>
      <c r="C101" s="24" t="s">
        <v>200</v>
      </c>
      <c r="D101" s="24" t="s">
        <v>201</v>
      </c>
      <c r="E101" s="24" t="s">
        <v>202</v>
      </c>
      <c r="F101" s="24" t="s">
        <v>192</v>
      </c>
      <c r="G101" s="24" t="s">
        <v>203</v>
      </c>
      <c r="H101" s="24" t="s">
        <v>193</v>
      </c>
      <c r="I101" s="24" t="s">
        <v>194</v>
      </c>
      <c r="J101" s="24" t="s">
        <v>196</v>
      </c>
      <c r="K101" s="24" t="s">
        <v>195</v>
      </c>
      <c r="L101" s="24" t="s">
        <v>191</v>
      </c>
      <c r="M101" s="24" t="s">
        <v>190</v>
      </c>
      <c r="N101" s="24" t="s">
        <v>190</v>
      </c>
      <c r="O101" s="24" t="s">
        <v>190</v>
      </c>
      <c r="P101" s="24" t="s">
        <v>190</v>
      </c>
      <c r="Q101" s="24" t="s">
        <v>191</v>
      </c>
      <c r="R101" s="24" t="s">
        <v>190</v>
      </c>
      <c r="S101" s="24" t="s">
        <v>190</v>
      </c>
      <c r="T101" s="24" t="s">
        <v>204</v>
      </c>
      <c r="U101" s="24" t="s">
        <v>205</v>
      </c>
      <c r="V101" s="24" t="s">
        <v>207</v>
      </c>
      <c r="W101" s="24" t="s">
        <v>208</v>
      </c>
      <c r="X101" s="24" t="s">
        <v>206</v>
      </c>
      <c r="Y101" s="24" t="s">
        <v>197</v>
      </c>
      <c r="Z101" s="24" t="s">
        <v>198</v>
      </c>
      <c r="AA101" s="25">
        <v>43574.860111111113</v>
      </c>
    </row>
    <row r="102" spans="1:27">
      <c r="A102" s="23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5"/>
    </row>
    <row r="103" spans="1:27">
      <c r="A103" s="23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5"/>
    </row>
    <row r="104" spans="1:27">
      <c r="A104" s="23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5"/>
    </row>
    <row r="105" spans="1:27">
      <c r="A105" s="23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5"/>
    </row>
    <row r="106" spans="1:27">
      <c r="A106" s="23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5"/>
    </row>
    <row r="107" spans="1:27">
      <c r="A107" s="23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5"/>
    </row>
    <row r="108" spans="1:27">
      <c r="A108" s="23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5"/>
    </row>
    <row r="109" spans="1:27">
      <c r="A109" s="23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5"/>
    </row>
    <row r="110" spans="1:27">
      <c r="A110" s="23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5"/>
    </row>
    <row r="111" spans="1:27">
      <c r="A111" s="23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5"/>
    </row>
    <row r="112" spans="1:27">
      <c r="A112" s="23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5"/>
    </row>
    <row r="113" spans="1:27">
      <c r="A113" s="23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5"/>
    </row>
    <row r="114" spans="1:27">
      <c r="A114" s="23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5"/>
    </row>
    <row r="115" spans="1:27">
      <c r="A115" s="23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5"/>
    </row>
    <row r="116" spans="1:27">
      <c r="A116" s="23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5"/>
    </row>
    <row r="117" spans="1:27">
      <c r="A117" s="23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5"/>
    </row>
    <row r="118" spans="1:27">
      <c r="A118" s="23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5"/>
    </row>
    <row r="119" spans="1:27">
      <c r="A119" s="23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5"/>
    </row>
    <row r="120" spans="1:27">
      <c r="A120" s="23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5"/>
    </row>
    <row r="121" spans="1:27">
      <c r="A121" s="23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5"/>
    </row>
    <row r="122" spans="1:27">
      <c r="A122" s="23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5"/>
    </row>
    <row r="123" spans="1:27">
      <c r="A123" s="23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5"/>
    </row>
    <row r="124" spans="1:27">
      <c r="A124" s="23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5"/>
    </row>
    <row r="125" spans="1:27">
      <c r="A125" s="23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5"/>
    </row>
    <row r="126" spans="1:27">
      <c r="A126" s="23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5"/>
    </row>
    <row r="127" spans="1:27">
      <c r="A127" s="23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5"/>
    </row>
    <row r="128" spans="1:27">
      <c r="A128" s="23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5"/>
    </row>
    <row r="129" spans="1:27">
      <c r="A129" s="23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5"/>
    </row>
    <row r="130" spans="1:27">
      <c r="A130" s="23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5"/>
    </row>
    <row r="131" spans="1:27">
      <c r="A131" s="23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5"/>
    </row>
    <row r="132" spans="1:27">
      <c r="A132" s="23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5"/>
    </row>
    <row r="133" spans="1:27">
      <c r="A133" s="23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5"/>
    </row>
    <row r="134" spans="1:27">
      <c r="A134" s="23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5"/>
    </row>
    <row r="135" spans="1:27">
      <c r="A135" s="23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5"/>
    </row>
    <row r="136" spans="1:27">
      <c r="A136" s="23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5"/>
    </row>
    <row r="137" spans="1:27">
      <c r="A137" s="23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5"/>
    </row>
    <row r="138" spans="1:27">
      <c r="A138" s="23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5"/>
    </row>
    <row r="139" spans="1:27">
      <c r="A139" s="23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5"/>
    </row>
    <row r="140" spans="1:27">
      <c r="A140" s="23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5"/>
    </row>
    <row r="141" spans="1:27">
      <c r="A141" s="23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5"/>
    </row>
    <row r="142" spans="1:27">
      <c r="A142" s="23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5"/>
    </row>
    <row r="143" spans="1:27">
      <c r="A143" s="23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5"/>
    </row>
    <row r="144" spans="1:27">
      <c r="A144" s="23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5"/>
    </row>
    <row r="145" spans="1:27">
      <c r="A145" s="23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5"/>
    </row>
    <row r="146" spans="1:27">
      <c r="A146" s="23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5"/>
    </row>
    <row r="147" spans="1:27">
      <c r="A147" s="23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5"/>
    </row>
    <row r="148" spans="1:27">
      <c r="A148" s="23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5"/>
    </row>
    <row r="149" spans="1:27">
      <c r="A149" s="23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5"/>
    </row>
    <row r="150" spans="1:27">
      <c r="A150" s="23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5"/>
    </row>
    <row r="151" spans="1:27">
      <c r="A151" s="23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5"/>
    </row>
    <row r="152" spans="1:27">
      <c r="A152" s="23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5"/>
    </row>
    <row r="153" spans="1:27">
      <c r="A153" s="23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5"/>
    </row>
    <row r="154" spans="1:27">
      <c r="A154" s="23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5"/>
    </row>
    <row r="155" spans="1:27">
      <c r="A155" s="23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5"/>
    </row>
    <row r="156" spans="1:27">
      <c r="A156" s="23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5"/>
    </row>
    <row r="157" spans="1:27">
      <c r="A157" s="23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5"/>
    </row>
    <row r="158" spans="1:27">
      <c r="A158" s="23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5"/>
    </row>
    <row r="159" spans="1:27">
      <c r="A159" s="23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5"/>
    </row>
    <row r="160" spans="1:27">
      <c r="A160" s="23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5"/>
    </row>
    <row r="161" spans="1:27">
      <c r="A161" s="23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5"/>
    </row>
    <row r="162" spans="1:27">
      <c r="A162" s="23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5"/>
    </row>
    <row r="163" spans="1:27">
      <c r="A163" s="23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5"/>
    </row>
    <row r="164" spans="1:27">
      <c r="A164" s="23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5"/>
    </row>
    <row r="165" spans="1:27">
      <c r="A165" s="23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5"/>
    </row>
    <row r="166" spans="1:27">
      <c r="A166" s="23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5"/>
    </row>
    <row r="167" spans="1:27">
      <c r="A167" s="23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5"/>
    </row>
    <row r="168" spans="1:27">
      <c r="A168" s="23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5"/>
    </row>
    <row r="169" spans="1:27">
      <c r="A169" s="23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5"/>
    </row>
    <row r="170" spans="1:27">
      <c r="A170" s="23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5"/>
    </row>
    <row r="171" spans="1:27">
      <c r="A171" s="23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5"/>
    </row>
    <row r="172" spans="1:27">
      <c r="A172" s="23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5"/>
    </row>
    <row r="173" spans="1:27">
      <c r="A173" s="23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5"/>
    </row>
    <row r="174" spans="1:27">
      <c r="A174" s="23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5"/>
    </row>
    <row r="175" spans="1:27">
      <c r="A175" s="23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5"/>
    </row>
    <row r="176" spans="1:27">
      <c r="A176" s="23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5"/>
    </row>
    <row r="177" spans="1:27">
      <c r="A177" s="23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5"/>
    </row>
    <row r="178" spans="1:27">
      <c r="A178" s="23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5"/>
    </row>
    <row r="179" spans="1:27">
      <c r="A179" s="23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5"/>
    </row>
    <row r="180" spans="1:27">
      <c r="A180" s="23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5"/>
    </row>
    <row r="181" spans="1:27">
      <c r="A181" s="23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5"/>
    </row>
    <row r="182" spans="1:27">
      <c r="A182" s="23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5"/>
    </row>
    <row r="183" spans="1:27">
      <c r="A183" s="23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5"/>
    </row>
    <row r="184" spans="1:27">
      <c r="A184" s="23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5"/>
    </row>
    <row r="185" spans="1:27">
      <c r="A185" s="23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5"/>
    </row>
    <row r="186" spans="1:27">
      <c r="A186" s="23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5"/>
    </row>
    <row r="187" spans="1:27">
      <c r="A187" s="23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5"/>
    </row>
    <row r="188" spans="1:27">
      <c r="A188" s="23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5"/>
    </row>
    <row r="189" spans="1:27">
      <c r="A189" s="23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5"/>
    </row>
    <row r="190" spans="1:27">
      <c r="A190" s="23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5"/>
    </row>
    <row r="191" spans="1:27">
      <c r="A191" s="23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5"/>
    </row>
    <row r="192" spans="1:27">
      <c r="A192" s="23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5"/>
    </row>
    <row r="193" spans="1:27">
      <c r="A193" s="23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5"/>
    </row>
    <row r="194" spans="1:27">
      <c r="A194" s="23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5"/>
    </row>
    <row r="195" spans="1:27">
      <c r="A195" s="23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5"/>
    </row>
    <row r="196" spans="1:27">
      <c r="A196" s="23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5"/>
    </row>
    <row r="197" spans="1:27">
      <c r="A197" s="23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5"/>
    </row>
    <row r="198" spans="1:27">
      <c r="A198" s="23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5"/>
    </row>
    <row r="199" spans="1:27">
      <c r="A199" s="23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5"/>
    </row>
    <row r="200" spans="1:27">
      <c r="A200" s="23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5"/>
    </row>
    <row r="201" spans="1:27">
      <c r="A201" s="23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5"/>
    </row>
    <row r="202" spans="1:27">
      <c r="A202" s="23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5"/>
    </row>
    <row r="203" spans="1:27">
      <c r="A203" s="23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5"/>
    </row>
    <row r="204" spans="1:27">
      <c r="A204" s="23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5"/>
    </row>
    <row r="205" spans="1:27">
      <c r="A205" s="23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5"/>
    </row>
    <row r="206" spans="1:27">
      <c r="A206" s="23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5"/>
    </row>
    <row r="207" spans="1:27">
      <c r="A207" s="23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5"/>
    </row>
    <row r="208" spans="1:27">
      <c r="A208" s="23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5"/>
    </row>
    <row r="209" spans="1:27">
      <c r="A209" s="23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5"/>
    </row>
    <row r="210" spans="1:27">
      <c r="A210" s="23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5"/>
    </row>
    <row r="211" spans="1:27">
      <c r="A211" s="23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5"/>
    </row>
    <row r="212" spans="1:27">
      <c r="A212" s="23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5"/>
    </row>
    <row r="213" spans="1:27">
      <c r="A213" s="23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5"/>
    </row>
    <row r="214" spans="1:27">
      <c r="A214" s="23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5"/>
    </row>
    <row r="215" spans="1:27">
      <c r="A215" s="23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5"/>
    </row>
    <row r="216" spans="1:27">
      <c r="A216" s="23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5"/>
    </row>
    <row r="217" spans="1:27">
      <c r="A217" s="23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5"/>
    </row>
    <row r="218" spans="1:27">
      <c r="A218" s="23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5"/>
    </row>
    <row r="219" spans="1:27">
      <c r="A219" s="23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5"/>
    </row>
    <row r="220" spans="1:27">
      <c r="A220" s="23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5"/>
    </row>
    <row r="221" spans="1:27">
      <c r="A221" s="23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5"/>
    </row>
    <row r="222" spans="1:27">
      <c r="A222" s="23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5"/>
    </row>
    <row r="223" spans="1:27">
      <c r="A223" s="23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5"/>
    </row>
    <row r="224" spans="1:27">
      <c r="A224" s="23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5"/>
    </row>
    <row r="225" spans="1:27">
      <c r="A225" s="23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5"/>
    </row>
    <row r="226" spans="1:27">
      <c r="A226" s="23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5"/>
    </row>
    <row r="227" spans="1:27">
      <c r="A227" s="23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5"/>
    </row>
    <row r="228" spans="1:27">
      <c r="A228" s="23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5"/>
    </row>
    <row r="229" spans="1:27">
      <c r="A229" s="23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5"/>
    </row>
    <row r="230" spans="1:27">
      <c r="A230" s="23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5"/>
    </row>
    <row r="231" spans="1:27">
      <c r="A231" s="23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5"/>
    </row>
    <row r="232" spans="1:27">
      <c r="A232" s="23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5"/>
    </row>
    <row r="233" spans="1:27">
      <c r="A233" s="23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5"/>
    </row>
    <row r="234" spans="1:27">
      <c r="A234" s="23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5"/>
    </row>
    <row r="235" spans="1:27">
      <c r="A235" s="23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5"/>
    </row>
    <row r="236" spans="1:27">
      <c r="A236" s="23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5"/>
    </row>
    <row r="237" spans="1:27">
      <c r="A237" s="23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5"/>
    </row>
    <row r="238" spans="1:27">
      <c r="A238" s="23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5"/>
    </row>
    <row r="239" spans="1:27">
      <c r="A239" s="23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5"/>
    </row>
    <row r="240" spans="1:27">
      <c r="A240" s="23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5"/>
    </row>
    <row r="241" spans="1:27">
      <c r="A241" s="23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5"/>
    </row>
    <row r="242" spans="1:27">
      <c r="A242" s="23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5"/>
    </row>
    <row r="243" spans="1:27">
      <c r="A243" s="23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5"/>
    </row>
    <row r="244" spans="1:27">
      <c r="A244" s="23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5"/>
    </row>
    <row r="245" spans="1:27">
      <c r="A245" s="23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5"/>
    </row>
    <row r="246" spans="1:27">
      <c r="A246" s="23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5"/>
    </row>
    <row r="247" spans="1:27">
      <c r="A247" s="23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5"/>
    </row>
    <row r="248" spans="1:27">
      <c r="A248" s="23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5"/>
    </row>
    <row r="249" spans="1:27">
      <c r="A249" s="23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5"/>
    </row>
    <row r="250" spans="1:27">
      <c r="A250" s="23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5"/>
    </row>
    <row r="251" spans="1:27">
      <c r="A251" s="23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5"/>
    </row>
    <row r="252" spans="1:27">
      <c r="A252" s="23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5"/>
    </row>
    <row r="253" spans="1:27">
      <c r="A253" s="23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5"/>
    </row>
    <row r="254" spans="1:27">
      <c r="A254" s="23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5"/>
    </row>
    <row r="255" spans="1:27">
      <c r="A255" s="23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5"/>
    </row>
    <row r="256" spans="1:27">
      <c r="A256" s="23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5"/>
    </row>
    <row r="257" spans="1:27">
      <c r="A257" s="23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5"/>
    </row>
    <row r="258" spans="1:27">
      <c r="A258" s="23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5"/>
    </row>
    <row r="259" spans="1:27">
      <c r="A259" s="23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5"/>
    </row>
    <row r="260" spans="1:27">
      <c r="A260" s="23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5"/>
    </row>
    <row r="261" spans="1:27">
      <c r="A261" s="23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5"/>
    </row>
    <row r="262" spans="1:27">
      <c r="A262" s="23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5"/>
    </row>
    <row r="263" spans="1:27">
      <c r="A263" s="23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5"/>
    </row>
    <row r="264" spans="1:27">
      <c r="A264" s="23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5"/>
    </row>
    <row r="265" spans="1:27">
      <c r="A265" s="23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5"/>
    </row>
    <row r="266" spans="1:27">
      <c r="A266" s="23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5"/>
    </row>
    <row r="267" spans="1:27">
      <c r="A267" s="23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5"/>
    </row>
    <row r="268" spans="1:27">
      <c r="A268" s="23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5"/>
    </row>
    <row r="269" spans="1:27">
      <c r="A269" s="23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5"/>
    </row>
    <row r="270" spans="1:27">
      <c r="A270" s="23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5"/>
    </row>
    <row r="271" spans="1:27">
      <c r="A271" s="23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5"/>
    </row>
    <row r="272" spans="1:27">
      <c r="A272" s="23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5"/>
    </row>
    <row r="273" spans="1:27">
      <c r="A273" s="23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5"/>
    </row>
    <row r="274" spans="1:27">
      <c r="A274" s="23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5"/>
    </row>
    <row r="275" spans="1:27">
      <c r="A275" s="23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5"/>
    </row>
    <row r="276" spans="1:27">
      <c r="A276" s="23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5"/>
    </row>
    <row r="277" spans="1:27">
      <c r="A277" s="23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5"/>
    </row>
    <row r="278" spans="1:27">
      <c r="A278" s="23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5"/>
    </row>
    <row r="279" spans="1:27">
      <c r="A279" s="23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5"/>
    </row>
    <row r="280" spans="1:27">
      <c r="A280" s="23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5"/>
    </row>
    <row r="281" spans="1:27">
      <c r="A281" s="23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5"/>
    </row>
    <row r="282" spans="1:27">
      <c r="A282" s="23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5"/>
    </row>
    <row r="283" spans="1:27">
      <c r="A283" s="23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5"/>
    </row>
    <row r="284" spans="1:27">
      <c r="A284" s="23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5"/>
    </row>
    <row r="285" spans="1:27">
      <c r="A285" s="23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5"/>
    </row>
    <row r="286" spans="1:27">
      <c r="A286" s="23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5"/>
    </row>
    <row r="287" spans="1:27">
      <c r="A287" s="23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5"/>
    </row>
    <row r="288" spans="1:27">
      <c r="A288" s="23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5"/>
    </row>
    <row r="289" spans="1:27">
      <c r="A289" s="23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5"/>
    </row>
    <row r="290" spans="1:27">
      <c r="A290" s="23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5"/>
    </row>
    <row r="291" spans="1:27">
      <c r="A291" s="23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5"/>
    </row>
    <row r="292" spans="1:27">
      <c r="A292" s="23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5"/>
    </row>
    <row r="293" spans="1:27">
      <c r="A293" s="23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5"/>
    </row>
    <row r="294" spans="1:27">
      <c r="A294" s="23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5"/>
    </row>
    <row r="295" spans="1:27">
      <c r="A295" s="23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5"/>
    </row>
    <row r="296" spans="1:27">
      <c r="A296" s="23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5"/>
    </row>
    <row r="297" spans="1:27">
      <c r="A297" s="23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5"/>
    </row>
    <row r="298" spans="1:27">
      <c r="A298" s="23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5"/>
    </row>
    <row r="299" spans="1:27">
      <c r="A299" s="31"/>
      <c r="B299" s="16"/>
      <c r="C299" s="16"/>
      <c r="D299" s="16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</row>
    <row r="300" spans="1:27">
      <c r="A300" s="31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</row>
    <row r="301" spans="1:27">
      <c r="A301" s="31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5"/>
    </row>
    <row r="302" spans="1:27">
      <c r="A302" s="31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5"/>
    </row>
    <row r="303" spans="1:27">
      <c r="A303" s="31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5"/>
    </row>
    <row r="304" spans="1:27">
      <c r="A304" s="31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5"/>
    </row>
    <row r="305" spans="1:17">
      <c r="A305" s="31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5"/>
    </row>
    <row r="306" spans="1:17">
      <c r="A306" s="31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5"/>
    </row>
    <row r="307" spans="1:17">
      <c r="A307" s="31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</row>
    <row r="308" spans="1:17">
      <c r="A308" s="31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</row>
    <row r="309" spans="1:17">
      <c r="A309" s="31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5"/>
    </row>
    <row r="310" spans="1:17">
      <c r="A310" s="31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</row>
    <row r="311" spans="1:17">
      <c r="A311" s="31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5"/>
    </row>
    <row r="312" spans="1:17">
      <c r="A312" s="31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</row>
    <row r="313" spans="1:17">
      <c r="A313" s="32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5"/>
    </row>
    <row r="314" spans="1:17">
      <c r="A314" s="32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5"/>
    </row>
    <row r="315" spans="1:17">
      <c r="A315" s="32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5"/>
    </row>
    <row r="316" spans="1:17">
      <c r="A316" s="32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5"/>
    </row>
    <row r="317" spans="1:17">
      <c r="A317" s="32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5"/>
    </row>
    <row r="318" spans="1:17">
      <c r="A318" s="32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5"/>
    </row>
    <row r="319" spans="1:17">
      <c r="A319" s="33"/>
      <c r="B319" s="16"/>
      <c r="C319" s="16"/>
      <c r="D319" s="16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</row>
    <row r="320" spans="1:17">
      <c r="A320" s="31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</row>
    <row r="321" spans="1:17">
      <c r="A321" s="33"/>
      <c r="B321" s="16"/>
      <c r="C321" s="16"/>
      <c r="D321" s="16"/>
      <c r="E321" s="16"/>
      <c r="F321" s="16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6"/>
    </row>
    <row r="322" spans="1:17">
      <c r="A322" s="31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</row>
    <row r="323" spans="1:17">
      <c r="A323" s="31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</row>
    <row r="324" spans="1:17">
      <c r="A324" s="31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</row>
    <row r="325" spans="1:17">
      <c r="A325" s="34"/>
      <c r="B325" s="21"/>
      <c r="C325" s="21"/>
      <c r="D325" s="21"/>
      <c r="E325" s="21"/>
      <c r="F325" s="21"/>
      <c r="G325" s="21"/>
      <c r="H325" s="21"/>
      <c r="I325" s="21"/>
      <c r="J325" s="21"/>
      <c r="K325" s="21"/>
      <c r="L325" s="21"/>
      <c r="M325" s="21"/>
      <c r="N325" s="21"/>
      <c r="O325" s="21"/>
      <c r="P325" s="21"/>
      <c r="Q325" s="21"/>
    </row>
    <row r="326" spans="1:17">
      <c r="A326" s="31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</row>
    <row r="327" spans="1:17">
      <c r="A327" s="31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</row>
    <row r="328" spans="1:17">
      <c r="A328" s="31"/>
      <c r="B328" s="16"/>
      <c r="C328" s="15"/>
      <c r="D328" s="16"/>
      <c r="E328" s="16"/>
      <c r="F328" s="15"/>
      <c r="G328" s="15"/>
      <c r="H328" s="15"/>
      <c r="I328" s="15"/>
      <c r="J328" s="15"/>
      <c r="K328" s="15"/>
      <c r="L328" s="15"/>
      <c r="M328" s="15"/>
      <c r="N328" s="21"/>
      <c r="O328" s="15"/>
      <c r="P328" s="15"/>
      <c r="Q328" s="22"/>
    </row>
    <row r="329" spans="1:17">
      <c r="A329" s="33"/>
      <c r="B329" s="16"/>
      <c r="C329" s="16"/>
      <c r="D329" s="16"/>
      <c r="E329" s="16"/>
      <c r="F329" s="16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6"/>
    </row>
    <row r="330" spans="1:17">
      <c r="A330" s="31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</row>
    <row r="331" spans="1:17">
      <c r="A331" s="33"/>
      <c r="B331" s="16"/>
      <c r="C331" s="16"/>
      <c r="D331" s="16"/>
      <c r="E331" s="16"/>
      <c r="F331" s="16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6"/>
    </row>
    <row r="332" spans="1:17">
      <c r="A332" s="33"/>
      <c r="B332" s="16"/>
      <c r="C332" s="16"/>
      <c r="D332" s="16"/>
      <c r="E332" s="16"/>
      <c r="F332" s="16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6"/>
    </row>
    <row r="333" spans="1:17">
      <c r="A333" s="31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</row>
    <row r="334" spans="1:17">
      <c r="A334" s="31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</row>
    <row r="335" spans="1:17">
      <c r="A335" s="31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</row>
    <row r="336" spans="1:17">
      <c r="A336" s="31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</row>
    <row r="337" spans="1:17">
      <c r="A337" s="31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</row>
    <row r="338" spans="1:17">
      <c r="A338" s="31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</row>
    <row r="339" spans="1:17">
      <c r="A339" s="31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</row>
    <row r="340" spans="1:17">
      <c r="A340" s="31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</row>
    <row r="341" spans="1:17">
      <c r="A341" s="34"/>
      <c r="B341" s="21"/>
      <c r="C341" s="21"/>
      <c r="D341" s="21"/>
      <c r="E341" s="21"/>
      <c r="F341" s="21"/>
      <c r="G341" s="21"/>
      <c r="H341" s="21"/>
      <c r="I341" s="21"/>
      <c r="J341" s="21"/>
      <c r="K341" s="21"/>
      <c r="L341" s="21"/>
      <c r="M341" s="21"/>
      <c r="N341" s="21"/>
      <c r="O341" s="21"/>
      <c r="P341" s="21"/>
      <c r="Q341" s="21"/>
    </row>
    <row r="342" spans="1:17">
      <c r="A342" s="31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</row>
    <row r="343" spans="1:17">
      <c r="A343" s="31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</row>
    <row r="344" spans="1:17">
      <c r="A344" s="31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22"/>
    </row>
    <row r="345" spans="1:17">
      <c r="A345" s="33"/>
      <c r="B345" s="16"/>
      <c r="C345" s="16"/>
      <c r="D345" s="16"/>
      <c r="E345" s="16"/>
      <c r="F345" s="16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6"/>
    </row>
    <row r="346" spans="1:17">
      <c r="A346" s="31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</row>
    <row r="347" spans="1:17">
      <c r="A347" s="33"/>
      <c r="B347" s="16"/>
      <c r="C347" s="16"/>
      <c r="D347" s="16"/>
      <c r="E347" s="16"/>
      <c r="F347" s="16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6"/>
    </row>
    <row r="348" spans="1:17">
      <c r="A348" s="33"/>
      <c r="B348" s="16"/>
      <c r="C348" s="16"/>
      <c r="D348" s="16"/>
      <c r="E348" s="16"/>
      <c r="F348" s="16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6"/>
    </row>
    <row r="349" spans="1:17">
      <c r="A349" s="31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</row>
    <row r="350" spans="1:17">
      <c r="A350" s="31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</row>
    <row r="351" spans="1:17">
      <c r="A351" s="31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</row>
    <row r="352" spans="1:17">
      <c r="A352" s="31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</row>
    <row r="353" spans="1:17">
      <c r="A353" s="31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</row>
    <row r="354" spans="1:17">
      <c r="A354" s="31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</row>
    <row r="355" spans="1:17">
      <c r="A355" s="31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</row>
    <row r="356" spans="1:17">
      <c r="A356" s="31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</row>
    <row r="357" spans="1:17">
      <c r="A357" s="34"/>
      <c r="B357" s="21"/>
      <c r="C357" s="21"/>
      <c r="D357" s="21"/>
      <c r="E357" s="21"/>
      <c r="F357" s="21"/>
      <c r="G357" s="21"/>
      <c r="H357" s="21"/>
      <c r="I357" s="21"/>
      <c r="J357" s="21"/>
      <c r="K357" s="21"/>
      <c r="L357" s="21"/>
      <c r="M357" s="21"/>
      <c r="N357" s="21"/>
      <c r="O357" s="21"/>
      <c r="P357" s="21"/>
      <c r="Q357" s="21"/>
    </row>
    <row r="358" spans="1:17">
      <c r="A358" s="31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</row>
    <row r="359" spans="1:17">
      <c r="A359" s="31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</row>
    <row r="360" spans="1:17">
      <c r="A360" s="30"/>
      <c r="B360" s="17"/>
      <c r="C360" s="19"/>
      <c r="D360" s="19"/>
      <c r="E360" s="20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</row>
    <row r="361" spans="1:17">
      <c r="A361" s="31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22"/>
    </row>
    <row r="362" spans="1:17">
      <c r="A362" s="33"/>
      <c r="B362" s="16"/>
      <c r="C362" s="16"/>
      <c r="D362" s="16"/>
      <c r="E362" s="16"/>
      <c r="F362" s="16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6"/>
    </row>
    <row r="363" spans="1:17">
      <c r="A363" s="31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</row>
    <row r="364" spans="1:17">
      <c r="A364" s="33"/>
      <c r="B364" s="16"/>
      <c r="C364" s="16"/>
      <c r="D364" s="16"/>
      <c r="E364" s="16"/>
      <c r="F364" s="16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6"/>
    </row>
    <row r="365" spans="1:17">
      <c r="A365" s="33"/>
      <c r="B365" s="16"/>
      <c r="C365" s="16"/>
      <c r="D365" s="16"/>
      <c r="E365" s="16"/>
      <c r="F365" s="16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6"/>
    </row>
    <row r="366" spans="1:17">
      <c r="A366" s="31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</row>
    <row r="367" spans="1:17">
      <c r="A367" s="31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</row>
    <row r="368" spans="1:17">
      <c r="A368" s="31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</row>
    <row r="369" spans="1:17">
      <c r="A369" s="31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</row>
    <row r="370" spans="1:17">
      <c r="A370" s="31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</row>
    <row r="371" spans="1:17">
      <c r="A371" s="31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</row>
    <row r="372" spans="1:17">
      <c r="A372" s="31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</row>
    <row r="373" spans="1:17">
      <c r="A373" s="31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</row>
    <row r="374" spans="1:17">
      <c r="A374" s="34"/>
      <c r="B374" s="21"/>
      <c r="C374" s="21"/>
      <c r="D374" s="21"/>
      <c r="E374" s="21"/>
      <c r="F374" s="21"/>
      <c r="G374" s="21"/>
      <c r="H374" s="21"/>
      <c r="I374" s="21"/>
      <c r="J374" s="21"/>
      <c r="K374" s="21"/>
      <c r="L374" s="21"/>
      <c r="M374" s="21"/>
      <c r="N374" s="21"/>
      <c r="O374" s="21"/>
      <c r="P374" s="21"/>
      <c r="Q374" s="21"/>
    </row>
    <row r="375" spans="1:17">
      <c r="A375" s="31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</row>
    <row r="376" spans="1:17">
      <c r="A376" s="31"/>
      <c r="B376" s="22"/>
      <c r="C376" s="22"/>
      <c r="D376" s="22"/>
      <c r="E376" s="22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</row>
    <row r="377" spans="1:17">
      <c r="A377" s="30"/>
      <c r="B377" s="18"/>
      <c r="C377" s="18"/>
      <c r="D377" s="16"/>
      <c r="E377" s="16"/>
      <c r="F377" s="15"/>
      <c r="G377" s="15"/>
      <c r="H377" s="15"/>
      <c r="I377" s="15"/>
      <c r="J377" s="15"/>
      <c r="K377" s="15"/>
      <c r="L377" s="15"/>
      <c r="M377" s="15"/>
      <c r="N377" s="21"/>
      <c r="O377" s="15"/>
      <c r="P377" s="15"/>
      <c r="Q377" s="22"/>
    </row>
    <row r="378" spans="1:17">
      <c r="A378" s="31"/>
      <c r="B378" s="16"/>
      <c r="C378" s="15"/>
    </row>
  </sheetData>
  <sheetProtection algorithmName="SHA-512" hashValue="zV5/PIuPCGdmTheOEvU8EH+OSJm/cvf1oB3ufy/xYi84Bbz+VUXNjjSfxRwxwh9bpWFPr/Y0O3S99dDblZrNIg==" saltValue="leV3SZLHbMfUnyioj1GFvw==" spinCount="100000" sheet="1" objects="1" scenarios="1"/>
  <sortState ref="A297:AA396">
    <sortCondition descending="1" ref="A1"/>
  </sortState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ToggleButtonA11">
          <controlPr defaultSize="0" disabled="1" autoLine="0" r:id="rId4">
            <anchor moveWithCells="1">
              <from>
                <xdr:col>0</xdr:col>
                <xdr:colOff>31750</xdr:colOff>
                <xdr:row>0</xdr:row>
                <xdr:rowOff>31750</xdr:rowOff>
              </from>
              <to>
                <xdr:col>0</xdr:col>
                <xdr:colOff>431800</xdr:colOff>
                <xdr:row>1</xdr:row>
                <xdr:rowOff>0</xdr:rowOff>
              </to>
            </anchor>
          </controlPr>
        </control>
      </mc:Choice>
      <mc:Fallback>
        <control shapeId="2049" r:id="rId3" name="ToggleButtonA11"/>
      </mc:Fallback>
    </mc:AlternateContent>
    <mc:AlternateContent xmlns:mc="http://schemas.openxmlformats.org/markup-compatibility/2006">
      <mc:Choice Requires="x14">
        <control shapeId="2050" r:id="rId5" name="ToggleButtonA12">
          <controlPr defaultSize="0" autoLine="0" r:id="rId6">
            <anchor moveWithCells="1">
              <from>
                <xdr:col>0</xdr:col>
                <xdr:colOff>488950</xdr:colOff>
                <xdr:row>0</xdr:row>
                <xdr:rowOff>25400</xdr:rowOff>
              </from>
              <to>
                <xdr:col>0</xdr:col>
                <xdr:colOff>889000</xdr:colOff>
                <xdr:row>0</xdr:row>
                <xdr:rowOff>381000</xdr:rowOff>
              </to>
            </anchor>
          </controlPr>
        </control>
      </mc:Choice>
      <mc:Fallback>
        <control shapeId="2050" r:id="rId5" name="ToggleButtonA12"/>
      </mc:Fallback>
    </mc:AlternateContent>
    <mc:AlternateContent xmlns:mc="http://schemas.openxmlformats.org/markup-compatibility/2006">
      <mc:Choice Requires="x14">
        <control shapeId="2051" r:id="rId7" name="CommandButtonB1">
          <controlPr defaultSize="0" disabled="1" autoLine="0" r:id="rId8">
            <anchor moveWithCells="1">
              <from>
                <xdr:col>1</xdr:col>
                <xdr:colOff>247650</xdr:colOff>
                <xdr:row>0</xdr:row>
                <xdr:rowOff>12700</xdr:rowOff>
              </from>
              <to>
                <xdr:col>1</xdr:col>
                <xdr:colOff>895350</xdr:colOff>
                <xdr:row>0</xdr:row>
                <xdr:rowOff>368300</xdr:rowOff>
              </to>
            </anchor>
          </controlPr>
        </control>
      </mc:Choice>
      <mc:Fallback>
        <control shapeId="2051" r:id="rId7" name="CommandButtonB1"/>
      </mc:Fallback>
    </mc:AlternateContent>
    <mc:AlternateContent xmlns:mc="http://schemas.openxmlformats.org/markup-compatibility/2006">
      <mc:Choice Requires="x14">
        <control shapeId="2052" r:id="rId9" name="CommandButtonC1">
          <controlPr defaultSize="0" disabled="1" autoLine="0" r:id="rId10">
            <anchor moveWithCells="1">
              <from>
                <xdr:col>2</xdr:col>
                <xdr:colOff>247650</xdr:colOff>
                <xdr:row>0</xdr:row>
                <xdr:rowOff>12700</xdr:rowOff>
              </from>
              <to>
                <xdr:col>2</xdr:col>
                <xdr:colOff>895350</xdr:colOff>
                <xdr:row>0</xdr:row>
                <xdr:rowOff>368300</xdr:rowOff>
              </to>
            </anchor>
          </controlPr>
        </control>
      </mc:Choice>
      <mc:Fallback>
        <control shapeId="2052" r:id="rId9" name="CommandButtonC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98"/>
  <sheetViews>
    <sheetView topLeftCell="A19" workbookViewId="0">
      <selection activeCell="C85" sqref="C85"/>
    </sheetView>
  </sheetViews>
  <sheetFormatPr defaultColWidth="10.84375" defaultRowHeight="15.5"/>
  <cols>
    <col min="1" max="1" width="63.84375" style="1" customWidth="1"/>
    <col min="2" max="2" width="17.15234375" style="1" customWidth="1"/>
    <col min="3" max="3" width="16.69140625" style="1" customWidth="1"/>
    <col min="4" max="4" width="22.69140625" style="1" customWidth="1"/>
    <col min="5" max="16384" width="10.84375" style="1"/>
  </cols>
  <sheetData>
    <row r="1" spans="1:6" ht="17">
      <c r="A1" s="3" t="s">
        <v>94</v>
      </c>
      <c r="B1" s="4" t="s">
        <v>47</v>
      </c>
      <c r="C1" s="4" t="s">
        <v>39</v>
      </c>
      <c r="D1" s="4"/>
      <c r="E1" s="4"/>
      <c r="F1" s="5"/>
    </row>
    <row r="2" spans="1:6" ht="17">
      <c r="A2" s="6" t="s">
        <v>95</v>
      </c>
      <c r="B2" s="1" t="s">
        <v>48</v>
      </c>
      <c r="C2" s="1" t="s">
        <v>47</v>
      </c>
      <c r="D2" s="1" t="s">
        <v>39</v>
      </c>
      <c r="F2" s="7"/>
    </row>
    <row r="3" spans="1:6" ht="17">
      <c r="A3" s="6" t="s">
        <v>49</v>
      </c>
      <c r="B3" s="1" t="s">
        <v>50</v>
      </c>
      <c r="C3" s="1" t="s">
        <v>47</v>
      </c>
      <c r="D3" s="1" t="s">
        <v>39</v>
      </c>
      <c r="F3" s="7"/>
    </row>
    <row r="4" spans="1:6" ht="17">
      <c r="A4" s="6" t="s">
        <v>154</v>
      </c>
      <c r="B4" s="1" t="s">
        <v>47</v>
      </c>
      <c r="C4" s="1" t="s">
        <v>39</v>
      </c>
      <c r="F4" s="7"/>
    </row>
    <row r="5" spans="1:6" ht="17">
      <c r="A5" s="6" t="s">
        <v>155</v>
      </c>
      <c r="B5" s="1" t="s">
        <v>47</v>
      </c>
      <c r="C5" s="1" t="s">
        <v>39</v>
      </c>
      <c r="F5" s="7"/>
    </row>
    <row r="6" spans="1:6" ht="17">
      <c r="A6" s="6" t="s">
        <v>51</v>
      </c>
      <c r="B6" s="1" t="s">
        <v>52</v>
      </c>
      <c r="C6" s="1" t="s">
        <v>40</v>
      </c>
      <c r="D6" s="1" t="s">
        <v>47</v>
      </c>
      <c r="E6" s="1" t="s">
        <v>39</v>
      </c>
      <c r="F6" s="7"/>
    </row>
    <row r="7" spans="1:6" ht="17">
      <c r="A7" s="6" t="s">
        <v>156</v>
      </c>
      <c r="B7" s="1" t="s">
        <v>47</v>
      </c>
      <c r="C7" s="1" t="s">
        <v>39</v>
      </c>
      <c r="F7" s="7"/>
    </row>
    <row r="8" spans="1:6" ht="17">
      <c r="A8" s="6" t="s">
        <v>144</v>
      </c>
      <c r="B8" s="1" t="s">
        <v>53</v>
      </c>
      <c r="C8" s="1" t="s">
        <v>47</v>
      </c>
      <c r="D8" s="1" t="s">
        <v>39</v>
      </c>
      <c r="F8" s="7"/>
    </row>
    <row r="9" spans="1:6" ht="17">
      <c r="A9" s="6" t="s">
        <v>41</v>
      </c>
      <c r="B9" s="1" t="s">
        <v>54</v>
      </c>
      <c r="C9" s="1" t="s">
        <v>55</v>
      </c>
      <c r="D9" s="1" t="s">
        <v>47</v>
      </c>
      <c r="E9" s="1" t="s">
        <v>39</v>
      </c>
      <c r="F9" s="7"/>
    </row>
    <row r="10" spans="1:6" ht="17">
      <c r="A10" s="6" t="s">
        <v>157</v>
      </c>
      <c r="B10" s="1" t="s">
        <v>47</v>
      </c>
      <c r="C10" s="1" t="s">
        <v>39</v>
      </c>
      <c r="F10" s="7"/>
    </row>
    <row r="11" spans="1:6" ht="17">
      <c r="A11" s="6" t="s">
        <v>56</v>
      </c>
      <c r="B11" s="1" t="s">
        <v>47</v>
      </c>
      <c r="C11" s="1" t="s">
        <v>39</v>
      </c>
      <c r="F11" s="7"/>
    </row>
    <row r="12" spans="1:6" ht="17">
      <c r="A12" s="6" t="s">
        <v>42</v>
      </c>
      <c r="B12" s="1" t="s">
        <v>57</v>
      </c>
      <c r="C12" s="1" t="s">
        <v>58</v>
      </c>
      <c r="D12" s="1" t="s">
        <v>59</v>
      </c>
      <c r="E12" s="1" t="s">
        <v>47</v>
      </c>
      <c r="F12" s="7" t="s">
        <v>39</v>
      </c>
    </row>
    <row r="13" spans="1:6" ht="17">
      <c r="A13" s="6" t="s">
        <v>145</v>
      </c>
      <c r="B13" s="1" t="s">
        <v>60</v>
      </c>
      <c r="C13" s="1" t="s">
        <v>61</v>
      </c>
      <c r="D13" s="1" t="s">
        <v>47</v>
      </c>
      <c r="E13" s="1" t="s">
        <v>39</v>
      </c>
      <c r="F13" s="7"/>
    </row>
    <row r="14" spans="1:6" ht="17">
      <c r="A14" s="6" t="s">
        <v>158</v>
      </c>
      <c r="B14" s="1" t="s">
        <v>47</v>
      </c>
      <c r="C14" s="1" t="s">
        <v>39</v>
      </c>
      <c r="F14" s="7"/>
    </row>
    <row r="15" spans="1:6" ht="17">
      <c r="A15" s="6" t="s">
        <v>146</v>
      </c>
      <c r="B15" s="8" t="s">
        <v>62</v>
      </c>
      <c r="C15" s="1" t="s">
        <v>47</v>
      </c>
      <c r="D15" s="1" t="s">
        <v>39</v>
      </c>
      <c r="F15" s="7"/>
    </row>
    <row r="16" spans="1:6" ht="17">
      <c r="A16" s="6" t="s">
        <v>159</v>
      </c>
      <c r="B16" s="1" t="s">
        <v>47</v>
      </c>
      <c r="C16" s="1" t="s">
        <v>39</v>
      </c>
      <c r="F16" s="7"/>
    </row>
    <row r="17" spans="1:6" ht="17">
      <c r="A17" s="6" t="s">
        <v>160</v>
      </c>
      <c r="B17" s="1" t="s">
        <v>47</v>
      </c>
      <c r="C17" s="1" t="s">
        <v>39</v>
      </c>
      <c r="F17" s="7"/>
    </row>
    <row r="18" spans="1:6" ht="17">
      <c r="A18" s="6" t="s">
        <v>63</v>
      </c>
      <c r="B18" s="1" t="s">
        <v>64</v>
      </c>
      <c r="C18" s="1" t="s">
        <v>47</v>
      </c>
      <c r="D18" s="1" t="s">
        <v>39</v>
      </c>
      <c r="F18" s="7"/>
    </row>
    <row r="19" spans="1:6" ht="17">
      <c r="A19" s="6" t="s">
        <v>65</v>
      </c>
      <c r="B19" s="1" t="s">
        <v>66</v>
      </c>
      <c r="C19" s="1" t="s">
        <v>67</v>
      </c>
      <c r="D19" s="1" t="s">
        <v>47</v>
      </c>
      <c r="E19" s="1" t="s">
        <v>173</v>
      </c>
      <c r="F19" s="7"/>
    </row>
    <row r="20" spans="1:6" ht="17">
      <c r="A20" s="6" t="s">
        <v>96</v>
      </c>
      <c r="B20" s="1" t="s">
        <v>47</v>
      </c>
      <c r="C20" s="1" t="s">
        <v>173</v>
      </c>
      <c r="F20" s="7"/>
    </row>
    <row r="21" spans="1:6" ht="17">
      <c r="A21" s="6" t="s">
        <v>147</v>
      </c>
      <c r="B21" s="1" t="s">
        <v>68</v>
      </c>
      <c r="C21" s="1" t="s">
        <v>47</v>
      </c>
      <c r="D21" s="1" t="s">
        <v>39</v>
      </c>
      <c r="F21" s="7"/>
    </row>
    <row r="22" spans="1:6" ht="17">
      <c r="A22" s="6" t="s">
        <v>43</v>
      </c>
      <c r="B22" s="1" t="s">
        <v>69</v>
      </c>
      <c r="C22" s="1" t="s">
        <v>47</v>
      </c>
      <c r="D22" s="1" t="s">
        <v>39</v>
      </c>
      <c r="F22" s="7"/>
    </row>
    <row r="23" spans="1:6" ht="17">
      <c r="A23" s="6" t="s">
        <v>161</v>
      </c>
      <c r="B23" s="1" t="s">
        <v>47</v>
      </c>
      <c r="C23" s="1" t="s">
        <v>39</v>
      </c>
      <c r="F23" s="7"/>
    </row>
    <row r="24" spans="1:6" ht="17">
      <c r="A24" s="6" t="s">
        <v>70</v>
      </c>
      <c r="B24" s="1" t="s">
        <v>47</v>
      </c>
      <c r="C24" s="1" t="s">
        <v>39</v>
      </c>
      <c r="F24" s="7"/>
    </row>
    <row r="25" spans="1:6" ht="17">
      <c r="A25" s="6" t="s">
        <v>44</v>
      </c>
      <c r="B25" s="1" t="s">
        <v>71</v>
      </c>
      <c r="C25" s="1" t="s">
        <v>47</v>
      </c>
      <c r="D25" s="1" t="s">
        <v>39</v>
      </c>
      <c r="F25" s="7"/>
    </row>
    <row r="26" spans="1:6" ht="17">
      <c r="A26" s="6" t="s">
        <v>72</v>
      </c>
      <c r="B26" s="1" t="s">
        <v>47</v>
      </c>
      <c r="C26" s="1" t="s">
        <v>39</v>
      </c>
      <c r="F26" s="7"/>
    </row>
    <row r="27" spans="1:6" ht="17">
      <c r="A27" s="6" t="s">
        <v>45</v>
      </c>
      <c r="B27" s="1" t="s">
        <v>73</v>
      </c>
      <c r="C27" s="1" t="s">
        <v>74</v>
      </c>
      <c r="D27" s="1" t="s">
        <v>47</v>
      </c>
      <c r="E27" s="1" t="s">
        <v>39</v>
      </c>
      <c r="F27" s="7"/>
    </row>
    <row r="28" spans="1:6" ht="17">
      <c r="A28" s="6" t="s">
        <v>75</v>
      </c>
      <c r="B28" s="1" t="s">
        <v>47</v>
      </c>
      <c r="C28" s="1" t="s">
        <v>39</v>
      </c>
      <c r="F28" s="7"/>
    </row>
    <row r="29" spans="1:6" ht="17">
      <c r="A29" s="6" t="s">
        <v>46</v>
      </c>
      <c r="B29" s="1" t="s">
        <v>76</v>
      </c>
      <c r="C29" s="1" t="s">
        <v>47</v>
      </c>
      <c r="D29" s="1" t="s">
        <v>39</v>
      </c>
      <c r="F29" s="7"/>
    </row>
    <row r="30" spans="1:6" ht="17">
      <c r="A30" s="6" t="s">
        <v>77</v>
      </c>
      <c r="B30" s="1" t="s">
        <v>47</v>
      </c>
      <c r="C30" s="1" t="s">
        <v>39</v>
      </c>
      <c r="F30" s="7"/>
    </row>
    <row r="31" spans="1:6" ht="17">
      <c r="A31" s="6" t="s">
        <v>78</v>
      </c>
      <c r="B31" s="1" t="s">
        <v>47</v>
      </c>
      <c r="C31" s="1" t="s">
        <v>39</v>
      </c>
      <c r="F31" s="7"/>
    </row>
    <row r="32" spans="1:6" ht="17">
      <c r="A32" s="6" t="s">
        <v>79</v>
      </c>
      <c r="B32" s="1" t="s">
        <v>47</v>
      </c>
      <c r="C32" s="1" t="s">
        <v>39</v>
      </c>
      <c r="F32" s="7"/>
    </row>
    <row r="33" spans="1:6" ht="17">
      <c r="A33" s="6" t="s">
        <v>80</v>
      </c>
      <c r="B33" s="1" t="s">
        <v>47</v>
      </c>
      <c r="C33" s="1" t="s">
        <v>39</v>
      </c>
      <c r="F33" s="7"/>
    </row>
    <row r="34" spans="1:6" ht="17">
      <c r="A34" s="6" t="s">
        <v>81</v>
      </c>
      <c r="B34" s="1" t="s">
        <v>47</v>
      </c>
      <c r="C34" s="1" t="s">
        <v>39</v>
      </c>
      <c r="F34" s="7"/>
    </row>
    <row r="35" spans="1:6" ht="17.5" thickBot="1">
      <c r="A35" s="9" t="s">
        <v>82</v>
      </c>
      <c r="B35" s="10" t="s">
        <v>47</v>
      </c>
      <c r="C35" s="10" t="s">
        <v>39</v>
      </c>
      <c r="D35" s="10"/>
      <c r="E35" s="10"/>
      <c r="F35" s="11"/>
    </row>
    <row r="37" spans="1:6" ht="17.5" thickBot="1">
      <c r="A37" s="1" t="s">
        <v>32</v>
      </c>
    </row>
    <row r="38" spans="1:6">
      <c r="A38" s="12" t="s">
        <v>9</v>
      </c>
    </row>
    <row r="39" spans="1:6">
      <c r="A39" s="13" t="s">
        <v>10</v>
      </c>
    </row>
    <row r="40" spans="1:6">
      <c r="A40" s="13" t="s">
        <v>11</v>
      </c>
    </row>
    <row r="41" spans="1:6" ht="16" thickBot="1">
      <c r="A41" s="14" t="s">
        <v>12</v>
      </c>
    </row>
    <row r="43" spans="1:6" ht="17.5" thickBot="1">
      <c r="A43" s="1" t="s">
        <v>131</v>
      </c>
    </row>
    <row r="44" spans="1:6" ht="16" thickBot="1">
      <c r="A44" s="29" t="s">
        <v>132</v>
      </c>
    </row>
    <row r="46" spans="1:6" ht="17.5" thickBot="1">
      <c r="A46" s="1" t="s">
        <v>148</v>
      </c>
    </row>
    <row r="47" spans="1:6">
      <c r="A47" s="12" t="s">
        <v>134</v>
      </c>
    </row>
    <row r="48" spans="1:6">
      <c r="A48" s="13" t="s">
        <v>135</v>
      </c>
    </row>
    <row r="49" spans="1:1">
      <c r="A49" s="13" t="s">
        <v>136</v>
      </c>
    </row>
    <row r="50" spans="1:1">
      <c r="A50" s="13" t="s">
        <v>137</v>
      </c>
    </row>
    <row r="51" spans="1:1">
      <c r="A51" s="13" t="s">
        <v>138</v>
      </c>
    </row>
    <row r="52" spans="1:1">
      <c r="A52" s="13" t="s">
        <v>174</v>
      </c>
    </row>
    <row r="53" spans="1:1">
      <c r="A53" s="13" t="s">
        <v>139</v>
      </c>
    </row>
    <row r="54" spans="1:1">
      <c r="A54" s="13" t="s">
        <v>175</v>
      </c>
    </row>
    <row r="55" spans="1:1" ht="17">
      <c r="A55" s="13" t="s">
        <v>176</v>
      </c>
    </row>
    <row r="56" spans="1:1" ht="17">
      <c r="A56" s="13" t="s">
        <v>162</v>
      </c>
    </row>
    <row r="57" spans="1:1" ht="16" thickBot="1">
      <c r="A57" s="14" t="s">
        <v>133</v>
      </c>
    </row>
    <row r="59" spans="1:1" ht="17.5" thickBot="1">
      <c r="A59" s="1" t="s">
        <v>151</v>
      </c>
    </row>
    <row r="60" spans="1:1">
      <c r="A60" s="12" t="s">
        <v>177</v>
      </c>
    </row>
    <row r="61" spans="1:1">
      <c r="A61" s="13" t="s">
        <v>178</v>
      </c>
    </row>
    <row r="62" spans="1:1">
      <c r="A62" s="13" t="s">
        <v>179</v>
      </c>
    </row>
    <row r="63" spans="1:1">
      <c r="A63" s="13" t="s">
        <v>140</v>
      </c>
    </row>
    <row r="64" spans="1:1">
      <c r="A64" s="13" t="s">
        <v>141</v>
      </c>
    </row>
    <row r="65" spans="1:1">
      <c r="A65" s="13" t="s">
        <v>180</v>
      </c>
    </row>
    <row r="66" spans="1:1" ht="17">
      <c r="A66" s="13" t="s">
        <v>181</v>
      </c>
    </row>
    <row r="67" spans="1:1" ht="16" thickBot="1">
      <c r="A67" s="14" t="s">
        <v>133</v>
      </c>
    </row>
    <row r="69" spans="1:1" ht="17.5" thickBot="1">
      <c r="A69" s="1" t="s">
        <v>152</v>
      </c>
    </row>
    <row r="70" spans="1:1">
      <c r="A70" s="12" t="s">
        <v>132</v>
      </c>
    </row>
    <row r="71" spans="1:1" ht="16" thickBot="1">
      <c r="A71" s="14" t="s">
        <v>142</v>
      </c>
    </row>
    <row r="73" spans="1:1" ht="17.5" thickBot="1">
      <c r="A73" s="1" t="s">
        <v>149</v>
      </c>
    </row>
    <row r="74" spans="1:1">
      <c r="A74" s="12" t="s">
        <v>13</v>
      </c>
    </row>
    <row r="75" spans="1:1">
      <c r="A75" s="13" t="s">
        <v>14</v>
      </c>
    </row>
    <row r="76" spans="1:1">
      <c r="A76" s="13" t="s">
        <v>15</v>
      </c>
    </row>
    <row r="77" spans="1:1">
      <c r="A77" s="13" t="s">
        <v>16</v>
      </c>
    </row>
    <row r="78" spans="1:1">
      <c r="A78" s="13" t="s">
        <v>17</v>
      </c>
    </row>
    <row r="79" spans="1:1">
      <c r="A79" s="13" t="s">
        <v>18</v>
      </c>
    </row>
    <row r="80" spans="1:1">
      <c r="A80" s="13" t="s">
        <v>143</v>
      </c>
    </row>
    <row r="81" spans="1:1" ht="16" thickBot="1">
      <c r="A81" s="14" t="s">
        <v>133</v>
      </c>
    </row>
    <row r="83" spans="1:1" ht="17.5" thickBot="1">
      <c r="A83" s="1" t="s">
        <v>83</v>
      </c>
    </row>
    <row r="84" spans="1:1" ht="17">
      <c r="A84" s="12" t="s">
        <v>163</v>
      </c>
    </row>
    <row r="85" spans="1:1" ht="16" thickBot="1">
      <c r="A85" s="14" t="s">
        <v>19</v>
      </c>
    </row>
    <row r="87" spans="1:1" ht="17.5" thickBot="1">
      <c r="A87" s="1" t="s">
        <v>150</v>
      </c>
    </row>
    <row r="88" spans="1:1">
      <c r="A88" s="12" t="s">
        <v>21</v>
      </c>
    </row>
    <row r="89" spans="1:1">
      <c r="A89" s="13" t="s">
        <v>22</v>
      </c>
    </row>
    <row r="90" spans="1:1">
      <c r="A90" s="13" t="s">
        <v>23</v>
      </c>
    </row>
    <row r="91" spans="1:1" ht="17.5" thickBot="1">
      <c r="A91" s="14" t="s">
        <v>162</v>
      </c>
    </row>
    <row r="93" spans="1:1" ht="17.5" thickBot="1">
      <c r="A93" s="1" t="s">
        <v>153</v>
      </c>
    </row>
    <row r="94" spans="1:1">
      <c r="A94" s="12" t="s">
        <v>186</v>
      </c>
    </row>
    <row r="95" spans="1:1">
      <c r="A95" s="13" t="s">
        <v>187</v>
      </c>
    </row>
    <row r="96" spans="1:1">
      <c r="A96" s="13" t="s">
        <v>188</v>
      </c>
    </row>
    <row r="97" spans="1:1">
      <c r="A97" s="13" t="s">
        <v>143</v>
      </c>
    </row>
    <row r="98" spans="1:1" ht="16" thickBot="1">
      <c r="A98" s="14" t="s">
        <v>133</v>
      </c>
    </row>
  </sheetData>
  <sheetProtection password="EF45" sheet="1" objects="1" scenarios="1"/>
  <sortState ref="A1:F36">
    <sortCondition ref="A2"/>
  </sortState>
  <phoneticPr fontId="1" type="noConversion"/>
  <pageMargins left="0.7" right="0.7" top="0.75" bottom="0.75" header="0.3" footer="0.3"/>
  <pageSetup paperSize="9" orientation="portrait" verticalDpi="598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1"/>
  <sheetViews>
    <sheetView workbookViewId="0">
      <selection activeCell="B1" sqref="B1:AA1"/>
    </sheetView>
  </sheetViews>
  <sheetFormatPr defaultColWidth="8.84375" defaultRowHeight="15.5"/>
  <cols>
    <col min="1" max="15" width="8.84375" style="23"/>
    <col min="16" max="16" width="16.84375" style="23" customWidth="1"/>
    <col min="17" max="16384" width="8.84375" style="23"/>
  </cols>
  <sheetData>
    <row r="1" spans="1:27">
      <c r="A1" s="23">
        <f>COUNT(现象研究记录数目)+1</f>
        <v>101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5"/>
    </row>
  </sheetData>
  <sheetProtection algorithmName="SHA-512" hashValue="/jojjSJ1TxjChDKLV5rzaN8IYDc9ES9eYH4xH4j1pYoAjD9Pa347jKRY7j5c87hQ8hHmp0oXq5R19G0Ione/0Q==" saltValue="E+Lw/COtavfdrr3Vlelf6Q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36</vt:i4>
      </vt:variant>
    </vt:vector>
  </HeadingPairs>
  <TitlesOfParts>
    <vt:vector size="40" baseType="lpstr">
      <vt:lpstr>干预研究录入界面</vt:lpstr>
      <vt:lpstr>干预研究记录</vt:lpstr>
      <vt:lpstr>后台选项</vt:lpstr>
      <vt:lpstr>中转站</vt:lpstr>
      <vt:lpstr>Adrenocortical_Carcinoma_肾上腺皮质癌_ACC</vt:lpstr>
      <vt:lpstr>Bladder_Cancer_膀胱癌</vt:lpstr>
      <vt:lpstr>Brain_Higher_Grade_Glioma_脑高级别神经胶质瘤_HGG</vt:lpstr>
      <vt:lpstr>Brain_Lower_Grade_Glioma_脑低级别神经胶质瘤_LGG</vt:lpstr>
      <vt:lpstr>Breast_Invasive_Carcinoma_乳腺癌_BRCA</vt:lpstr>
      <vt:lpstr>Cervical_Carcinoma_子宫颈癌_CECA</vt:lpstr>
      <vt:lpstr>Cholangiocarcinoma_胆管细胞癌_CHOL</vt:lpstr>
      <vt:lpstr>Colon_Cancer_结肠癌</vt:lpstr>
      <vt:lpstr>Esophageal_Cancer_食管癌</vt:lpstr>
      <vt:lpstr>Head_and_Neck_Cancer_Non_Nasopharyngeal_Carcinoma_头颈部癌_非鼻咽癌_HNC</vt:lpstr>
      <vt:lpstr>Hodgkin_Lymphoma_霍奇金淋巴瘤_HL</vt:lpstr>
      <vt:lpstr>Kidney_Cancer_肾癌</vt:lpstr>
      <vt:lpstr>Leukemia_白血病</vt:lpstr>
      <vt:lpstr>Liver_Hepatocellular_Carcinoma_肝细胞肝癌_LIHC</vt:lpstr>
      <vt:lpstr>Melanoma_黑色素瘤</vt:lpstr>
      <vt:lpstr>Mesothelioma_间皮瘤_MESO</vt:lpstr>
      <vt:lpstr>Nasopharyngeal_Squamous_Cell_Carcinoma_鼻咽鳞状细胞癌_NSCC</vt:lpstr>
      <vt:lpstr>Non_Hodgkin_Lymphoma_非霍奇金淋巴瘤_NHL</vt:lpstr>
      <vt:lpstr>Non_Small_Cell_Lung_Cancer_非小细胞肺癌_NSCLC</vt:lpstr>
      <vt:lpstr>Others</vt:lpstr>
      <vt:lpstr>Ovarian_Cancer_卵巢癌</vt:lpstr>
      <vt:lpstr>Pancreatic_Cancer_胰腺癌</vt:lpstr>
      <vt:lpstr>Pheochromocytoma_and_Paraganglioma_嗜铬细胞瘤与副神经节瘤_PCPG</vt:lpstr>
      <vt:lpstr>Prostate_Adenocarcinoma_前列腺癌_PRAD</vt:lpstr>
      <vt:lpstr>Rectum_Cancer_直肠癌</vt:lpstr>
      <vt:lpstr>Sarcoma_肉瘤_SARC</vt:lpstr>
      <vt:lpstr>Skin_Malignancy_皮肤恶性肿瘤</vt:lpstr>
      <vt:lpstr>Small_Cell_Lung_Cancer_小细胞肺癌_SCLC</vt:lpstr>
      <vt:lpstr>Stomach_Cancer_胃癌</vt:lpstr>
      <vt:lpstr>Testicular_Germ_Cell_Tumors_睾丸生殖细胞瘤_TGCT</vt:lpstr>
      <vt:lpstr>Thymoma_胸腺瘤_THYM</vt:lpstr>
      <vt:lpstr>Thyroid_Carcinoma_甲状腺癌_THCA</vt:lpstr>
      <vt:lpstr>Uterine_Carcinosarcoma_子宫癌肉瘤_UCS</vt:lpstr>
      <vt:lpstr>Uterine_Corpus_Endometrial_Carcinoma_子宫内膜癌_UCEC</vt:lpstr>
      <vt:lpstr>Uveal_Melanoma_葡萄膜黑色素瘤_UVM</vt:lpstr>
      <vt:lpstr>现象研究记录数目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柴晶晶</cp:lastModifiedBy>
  <dcterms:created xsi:type="dcterms:W3CDTF">2019-01-09T01:42:37Z</dcterms:created>
  <dcterms:modified xsi:type="dcterms:W3CDTF">2019-05-02T08:07:57Z</dcterms:modified>
</cp:coreProperties>
</file>